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종료평가용" sheetId="1" r:id="rId4"/>
    <sheet state="visible" name="사후평가용" sheetId="2" r:id="rId5"/>
  </sheets>
  <definedNames/>
  <calcPr/>
  <extLst>
    <ext uri="GoogleSheetsCustomDataVersion2">
      <go:sheetsCustomData xmlns:go="http://customooxmlschemas.google.com/" r:id="rId6" roundtripDataChecksum="qIg/4kRCyU95Gx3z6xepFV0aMhxQZ/rasuOJcYlnpsw="/>
    </ext>
  </extLst>
</workbook>
</file>

<file path=xl/sharedStrings.xml><?xml version="1.0" encoding="utf-8"?>
<sst xmlns="http://schemas.openxmlformats.org/spreadsheetml/2006/main" count="287" uniqueCount="88">
  <si>
    <t>KOICA 종료평가 평가등급표</t>
  </si>
  <si>
    <t>KOICA 사후평가 평가등급표</t>
  </si>
  <si>
    <t>사업명:</t>
  </si>
  <si>
    <t>평가수행기관(평가책임자):</t>
  </si>
  <si>
    <t>※ 평가등급 산정 시 유의사항(작성 시 삭제)
- 4점: 사업에서 의도한 바를 모두 달성하였으며, 기대하지 않은 성과 및 달성사항을 확인함.
- 3점: 당초 사업에서 계획한 바를 전반적으로 양호하게 달성함.
- 2점: 일부 사업내용을 제대로 이행하거나 고려하지 못하여, 사업 성과 달성에 일부 영향을 미침.
- 1점: 대다수의 사업내용을 제대로 이행하거나 고려하지 못하여 사업 성과 달성에 명백한 부정적 영향을 미침.</t>
  </si>
  <si>
    <t>평가 기준</t>
  </si>
  <si>
    <t>핵심질문</t>
  </si>
  <si>
    <t>점수
(1~4점)</t>
  </si>
  <si>
    <t>배점</t>
  </si>
  <si>
    <t>점수구분</t>
  </si>
  <si>
    <t>참고사항</t>
  </si>
  <si>
    <t>1. 적절성</t>
  </si>
  <si>
    <t>1.1. 사업은 당면과제 해결을 위한 이해관계자(한국정부, 수원국, 수원기관, 수혜자) 의 수요와 우선순위를 반영하여 설계되었는가?</t>
  </si>
  <si>
    <t>/4점</t>
  </si>
  <si>
    <t>1점</t>
  </si>
  <si>
    <t>한국정부(KOICA 포함) 협력전략, 수원국 정부 개발전략, 국제개발목표(SDGs 등), 사업지역 내 이해관계자 수요, 우선순위를 고려하지 않고 사업을 설계함.</t>
  </si>
  <si>
    <t>2점</t>
  </si>
  <si>
    <t>사업 설계가 이해관계자 수요와 우선순위에 일부 부합하나 해당 수요 및 우선순위 분석방식이 전반적으로 미흡함.</t>
  </si>
  <si>
    <t>3점</t>
  </si>
  <si>
    <t>사업 설계가 이해관계자 수요에 전반적으로 부합하거나 상호보완적으로 작용하며, 사업지역 내 이해관계자 수요와 우선순위 분석이 이루어짐.</t>
  </si>
  <si>
    <t>4점</t>
  </si>
  <si>
    <t>3의 조건을 모두 만족하며, 사전 수요조사 및 이해관계자 분석 과정에서 현지 이해관계자의 적극적인 참여 아래 문제나무, 변화이론 분석 등의 구체적 분석방식을 통해 사업 당면과제 및 수요가 충분히 검증되고 사업에 반영됨.</t>
  </si>
  <si>
    <t>1.2. 내·외부 상황변화에 맞추어 사업설계를 적절히 관리 및 유지하였는가?</t>
  </si>
  <si>
    <t>사업기간 중 발생한 상황변화에 적시 대응하지 못하였으며, 이로 인해 사업성과 달성에 중대한 영향을 미침.</t>
  </si>
  <si>
    <t>사업기간 중 발생한 상황변화에 일부 대응하였으나 도입된 대안의 실효성 및 타당성이 다소 부족하여 당초 계획된 중요 산출물이나 성과를 미달성함.</t>
  </si>
  <si>
    <t>사업기간 중 발생한 상황변화에 △적기 대응하였으며, △발생가능한 위기 및 사업관리 영향에 대해 분석 및 이해관계자에 공유하고, △당초 계획을 보완한 실현가능한 대안책을 마련하여 실천하였으나, 당초 계획했던 성과목표의 일부만 달성됨.</t>
  </si>
  <si>
    <t xml:space="preserve">사업기간 중 발생한 상황변화에 △적기 대응하였으며, △발생가능한 위기 및 사업관리 영향에 대해 분석 및 이해관계자에 공유하고, △당초 계획을 보완한 실현가능한 대안책을 마련하여 실천하였으며, 이를 통해 당초 계획했던 성과지표를 달성하였으며, 사업의 궁극적인 목표(Goal)를 달성할 가능성이 높음. </t>
  </si>
  <si>
    <t>적절성 평점</t>
  </si>
  <si>
    <t>/3점</t>
  </si>
  <si>
    <t>2. 일관성</t>
  </si>
  <si>
    <t>2.1. (내적 일관성) 한국 정부 및 국내 타 기관 사업, KOICA 타 사업, 주요 국제규범 및 기준과 상호보완성, 조화/조율, 부가가치를 고려하여 사업을 추진했는가?</t>
  </si>
  <si>
    <t xml:space="preserve">사업 기획단계에서 충분히 인지할 수 있는 타 개입사항이 있었음에도 불구하고, 파악 및 논의가 미비하여 사업요소 중복, 상호충돌이 발생하고 성과에 영향을 미침. </t>
  </si>
  <si>
    <t>아래 사항 중 하나 이상에 해당하는 경우
- 사업 기획 및 추진 단계에서 타 개입에 대해 인지하였음에도 연계 및 조율 시도가 확인되지 않음. 다만, 타 개입과의 중복 및 상호충돌은 확인되지 않음.
- 사업 성과 확산을 위한 타 개입과의 연계 가능성이 존재하고 연계 의지는 확인되나, 연계를 위한 구체적인 계획이나 조치사항이 확인되지 않음.</t>
  </si>
  <si>
    <t>아래 사항 중 하나 이상에 해당하는 경우
- 개입간 연계사항이 사업 기획단계에 반영되지는 못했으나, 사업 추진 과정에서 상호 협의 및 조정을 통해 일부 반영되었거나 구체적인 반영계획이 확인됨.
- 사업 기획단계에서 조화 및 부가가치 창출이 가능한 타 개입을 충분히 검토하였으나, 평가대상사업과 연계가능한 타 사업이 존재하지 않아 실질적 연계가 불가하였음(이 경우 평가팀에서 별도로 교차검증 필요)</t>
  </si>
  <si>
    <t>사업 기획단계에서 타 개입과의 상호보완성을 인지하고 구체적인 조율·연계과정을 통해 사업 성과의 상호보완성 및 시너지효과가 확인됨.</t>
  </si>
  <si>
    <t>2.2. (외적 일관성) 사업대상지역 내 타 주체(타 공여기관, 민간분야, 수원국 정부)의 개입과 상호보완성, 조화/조율, 부가가치를 고려하여 사업을 추진했는가?</t>
  </si>
  <si>
    <t>아래 사항 중 하나 이상에 해당하는 경우
- 사업 기획단계에서 충분히 인지할 수 있는 타 개입사항이 있었음에도 불구하고, 파악 및 논의가 미비하여 사업요소 중복, 상호충돌이 발생하고 성과에 영향을 미침.
- 주요 국제규범 및 기준을 명백히 위반한 사례가 확인됨.</t>
  </si>
  <si>
    <t>일관성 평점</t>
  </si>
  <si>
    <t>3. 효과성</t>
  </si>
  <si>
    <t>3.1. 사업의 직접적, 일차적 산출물(output)을 계획한대로 달성하였는가?</t>
  </si>
  <si>
    <t>하나 이상의 산출물(output)을 현저히 달성하지 못하였으며, 해당 사유의 불가피성 및 타당성이 인정되지 않거나 사업의 중장기 성과 및 목표 달성 가능성이 매우 낮음.</t>
  </si>
  <si>
    <t>하나 이상의 산출물(output)을 일부 달성하지 못하였으며, 해당 사유의 불가피성 및 타당성이 일부 인정되나 사업의 성과 및 목표 달성에 부정적인 영향을 미칠 가능성이 높음.</t>
  </si>
  <si>
    <t>최종 PDM 내 대부분의 산출물(output)을 달성하였으며, 일부 요소에서 정량적, 정성적으로 미흡한 면이 확인되나 해당 사유의 불가피성 및 타당성이 충분히 인정되며 극복가능함.</t>
  </si>
  <si>
    <t>최종 PDM 내 모든 산출물(output)을 100% 이상 달성하였으며, 사업 산출물의 품질이 우수하여 사업의 중장기성과 및 목표달성에 기여할 가능성이 높음.</t>
  </si>
  <si>
    <t>3.2. 사업의 중장기 성과(outcome) 및 목표(goal)를 달성하였거나 달성할 것으로 예상하는가?</t>
  </si>
  <si>
    <t>최종 PDM 내 성과(outcome)을 전혀 달성하지 못하였거나 달성할 가능성이 없음. 사업에서 설정한 당면과제 및 최종목표가 명확하지 않거나 현실에 부합하지 않으며, 달성 가능성도 낮음.</t>
  </si>
  <si>
    <t>최종 PDM 내 일부 성과(outcome)을 달성하였거나 달성할 것으로 예상되나, 사업 기획단계에서 설정한 당면과제의 해결과 최종목표 달성 가능성은 현시점에서 뚜렷하게 확인되지 않음.</t>
  </si>
  <si>
    <t xml:space="preserve">최종 PDM 내 대부분의 성과(outcome)를 달성하였거나 달성할 것으로 예상됨. 일부 선결과제 혹은 위기상황이 해결될 경우 사업에서 의도한 최종 목표 달성 가능성이 상당함. </t>
  </si>
  <si>
    <t>최종 PDM(혹은 ePDM) 내 모든 성과(outcome)를 달성하였으며, 해당 지표는 사업의 실제 성과를 대표할 수 있도록 설정됨. 기획단계부터 사업의 당면과제와 최종 목표를 명확히 설정하였으며, 해당 사업으로 최종 목표를 달성할 수 있는 인과성(causality)이 확인됨.</t>
  </si>
  <si>
    <t xml:space="preserve">3.3. 사업은 사회적 소외계층을 포용하여 형평성있게 성과를 달성하였는가? </t>
  </si>
  <si>
    <t>사업기획 및 추진 단계에서 사회적 소외계층에 대한 고려가 미흡하며, 사업의 부정적 파급효과로 인해 취약계층의 제약요인 및 취약성을 명백히 심화시킨 사례가 확인됨.</t>
  </si>
  <si>
    <t>사업기획 및 추진 단계에서 사회적 소외계층에 대한 고려가 미흡하며, 사업 결과 취약계층에 미치는 영향을 확인하지 못함.</t>
  </si>
  <si>
    <t>아래 사항 중 하나 이상에 해당하는 경우
- 사업의 기획 - 추진 - 성과달성 측면에서 사회적 소외계층에 대한 사업성과 달성을 위한 조치가 이루어졌으나,  실제 사업의 정성적, 정량적 성과에서 관련 내용을 특정하여 평가하기 어려움.
- 사업기획 및 추진 단계에서 사회적 소외계층에 대한 고려가 두드러지지는 않으나, 사업 파급효과로 인해 취약계층의 역량강화 및 상황개선이 확인됨.</t>
  </si>
  <si>
    <t>사업의 기획 - 추진 - 성과달성 측면에서 사회적 소외계층에 대한 사업성과 달성을 위해 취약층 식별 및 제약요인 파악, 수요 우선반영, 분리데이터 모니터링 등의 조치가 이루어졌으며, 실제 소외계층을 고려한 정성적, 정량적 사업성과 달성이 확인됨.</t>
  </si>
  <si>
    <t>효과성 평점</t>
  </si>
  <si>
    <t>4. 효율성</t>
  </si>
  <si>
    <t>4.1. 사업은 경제적이고 시의적절한 방식으로 추진되었는가?</t>
  </si>
  <si>
    <t>별도 타당한 사유 없이 사업 기간 및 예산의 150% 이상이 비효율적으로 증액 및 연장됨.</t>
  </si>
  <si>
    <t>사업 기간 및 예산의 150% 이상이 증액 및 연장되었으나, 그 필요성 및 불가피성이 일부 인정됨.</t>
  </si>
  <si>
    <t>계획 대비 사업 기간 및 예산 활용에 소폭 조정사항(150% 미만)이 있으나, 그 필요성 및 불가피성이 인정됨.</t>
  </si>
  <si>
    <t>계획 대비 사업 기간 및 예산 활용에 소폭 조정사항(150% 미만)이 있으나, 그 필요성 및 불가피성이 인정되며, 총 예산 절감, 사업공기 단축, 추가 사업요소 반영 등 사업의 효율성에 긍정적인 영향이 확인됨.</t>
  </si>
  <si>
    <t>4.2. 사업은 주요 투입 및 활동 간 균형, 상호작용을 고려하여 효율적으로 추진되었는가?</t>
  </si>
  <si>
    <t>사업 주요 투입 및 활동 간 균형 및 상호작용을 고려하지 않아 사업 성과의 달성 미흡에 심각한 영향을 미침.</t>
  </si>
  <si>
    <t>사업 주요 투입 및 활동 간 균형을 별도로 고려하지 않았으나, 사업 성과에 유의미한 영향을 미치지 않음.</t>
  </si>
  <si>
    <t>사업 기획단계에서는 고려되지 않았으나, 추진단계에서의 필요에 의해 사업요소 간 순서 및 균형을 사후적으로 조정함.</t>
  </si>
  <si>
    <t>사업 기획단계부터 사업요소 간 균형 및 상호작용을 고려하였으며, 요소 간 시너지효과 및 연계성이 사업성과 강화요인으로 작용함.</t>
  </si>
  <si>
    <t>효율성 평점</t>
  </si>
  <si>
    <t>5. 지속가능성</t>
  </si>
  <si>
    <t>5.1. 수원국 내 시스템, 조직 및 이해관계자는 사업 편익이 지속될 수 있는 재정적, 경제적 자립역량 및 위기대응능력을 갖추었는가?</t>
  </si>
  <si>
    <t>수원국 내 사업에 참여하거나 인지하고 있는 인력이 확인되지 않으며, 예산계획 또한 불투명함. 발생가능한 위기에 대처할 수 있는 기제가 확인되지 않음.</t>
  </si>
  <si>
    <t>사업 성과 지속을 위한 수원국의 의지는 확인되나, 이를 위한 예산 및 인력확보계획이 구체적으로 마련되어 있지 않아 지속가능성을 담보하기 어려움.</t>
  </si>
  <si>
    <t>사업 성과 지속을 위한 일시(단년도) 예산을 확보하였거나, 일부 미흡하지만 빠른 시간내에 자체수익모델을 통한 자립운영이 가능할 것으로 판단됨. 평가팀에서 파악한 잠재적인 내·외부 위기사항에 대해 수원국 측에서 인지하고 조치방안을 마련하고 있으나 예산 및 인력 제약으로 인해 단기적으로 외부지원이 수반되어야 함.</t>
  </si>
  <si>
    <t>사업 성과의 중장기 지속을 위한 다년도 예산을 확보하였거나 자체 수익모델로 재정적, 경제적 자립역량 확보가 충분히 가능함. 내·외부 위기상황 발생시 자체적으로 의사결정 및 대응한 사례가 존재하거나, 대응 가능한 인력 및 예산구조가 확보되었다고 판단됨.</t>
  </si>
  <si>
    <t>5.2. 사업 편익이 장기적으로 지속될 수 있는 제도적, 사회적 환경이 갖추어졌는가?</t>
  </si>
  <si>
    <t>사업 기획 및 추진 상의 미흡으로 성과 지속 및 확장이 불가능할 것으로 판단됨.</t>
  </si>
  <si>
    <t>현 시점에서의 사업 성과는 일정 부분 확인되나, 향후 사업 성과 지속 및 확장을 위한 별도 조치가 확인되지 않음.</t>
  </si>
  <si>
    <t>사업 성과 지속 및 확장을 위한 구체적인 조치(ex. 입법화, 사업 모델의 수원국 자체 프로그램 적용, 전담기관 지정 및 운영 등) 마련을 위한 구체적인 사전 준비 혹은 논의가 진행되고 있음.</t>
  </si>
  <si>
    <t>사업 성과 지속 및 확장을 위한 구체적인 조치(ex. 입법화, 사업 모델의 수원국 자체 프로그램 적용, 전담기관 지정 및 운영 등)이 실현됨.</t>
  </si>
  <si>
    <t>지속가능성 평점</t>
  </si>
  <si>
    <t>6. 영향력</t>
  </si>
  <si>
    <t>6.1. 사업은 장기적이고 광범위한 관점에서 사회적, 환경적, 경제적으로 전환적 효과(transformative effect)를 달성하거나 달성할 가능성이 있는가?</t>
  </si>
  <si>
    <t>해당 사업 추진 및 종료 후 관리 조치가 사업 효과의 지속 및 확산을 저해할 뿐만 아니라 수원국의 사회, 환경, 경제적 개선에 전혀 기여하지 못하거나 부정적 영향을 미칠 것으로 판단됨.</t>
  </si>
  <si>
    <t>평가 시점에서 사업 효과의 지속 유지 여부를 확인하기 어려우며, 사업으로 인한 사회, 환경, 경제적 변화를 확인하기 어려움.</t>
  </si>
  <si>
    <t>사업 효과의 즉각적이고 직접적인 효과가 지속되고 있으며, 이로 인해 수원국의 장기적인 사회·환경·경제적 변화에 어느정도 기여할 수 있을 것으로 판단됨.</t>
  </si>
  <si>
    <t>사업종료 이후에도 직, 간접, 잠재적 사업성과가 지속적으로 확산 및 유지되어 수원국의 사회, 환경, 경제 전반의 패러다임 변화에 레버리지로 작용하였으며, 이러한 변화를 구체적인 사례로 검증할 수 있음.</t>
  </si>
  <si>
    <t>영향력 평점</t>
  </si>
  <si>
    <t>평가 총점</t>
  </si>
  <si>
    <t>/20점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</si>
</sst>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&quot;점&quot;"/>
    <numFmt numFmtId="165" formatCode="0.0&quot;점&quot;"/>
  </numFmts>
  <fonts count="10">
    <font>
      <sz val="11.0"/>
      <color theme="1"/>
      <name val="Calibri"/>
      <scheme val="minor"/>
    </font>
    <font>
      <sz val="11.0"/>
      <color theme="1"/>
      <name val="Malgun Gothic"/>
    </font>
    <font>
      <sz val="20.0"/>
      <color theme="1"/>
      <name val="Malgun Gothic"/>
    </font>
    <font/>
    <font>
      <sz val="15.0"/>
      <color theme="1"/>
      <name val="Malgun Gothic"/>
    </font>
    <font>
      <b/>
      <sz val="15.0"/>
      <color theme="1"/>
      <name val="Malgun Gothic"/>
    </font>
    <font>
      <b/>
      <sz val="15.0"/>
      <color rgb="FF0070C0"/>
      <name val="Malgun Gothic"/>
    </font>
    <font>
      <b/>
      <sz val="20.0"/>
      <color theme="1"/>
      <name val="Malgun Gothic"/>
    </font>
    <font>
      <b/>
      <sz val="13.0"/>
      <color theme="1"/>
      <name val="Malgun Gothic"/>
    </font>
    <font>
      <b/>
      <sz val="16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2" fontId="6" numFmtId="0" xfId="0" applyAlignment="1" applyBorder="1" applyFill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3" fontId="5" numFmtId="0" xfId="0" applyAlignment="1" applyBorder="1" applyFill="1" applyFont="1">
      <alignment horizontal="center" shrinkToFit="0" vertical="center" wrapText="1"/>
    </xf>
    <xf borderId="8" fillId="3" fontId="5" numFmtId="0" xfId="0" applyAlignment="1" applyBorder="1" applyFill="1" applyFont="1">
      <alignment horizontal="center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10" fillId="0" fontId="7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left" shrinkToFit="0" vertical="center" wrapText="1"/>
    </xf>
    <xf borderId="11" fillId="0" fontId="8" numFmtId="164" xfId="0" applyAlignment="1" applyBorder="1" applyFont="1" applyNumberFormat="1">
      <alignment horizontal="right" vertical="center"/>
    </xf>
    <xf quotePrefix="1" borderId="11" fillId="0" fontId="8" numFmtId="0" xfId="0" applyAlignment="1" applyBorder="1" applyFont="1">
      <alignment horizontal="left" vertical="center"/>
    </xf>
    <xf quotePrefix="1"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8" fillId="5" fontId="5" numFmtId="0" xfId="0" applyAlignment="1" applyBorder="1" applyFill="1" applyFont="1">
      <alignment horizontal="center" vertical="center"/>
    </xf>
    <xf borderId="19" fillId="0" fontId="3" numFmtId="0" xfId="0" applyAlignment="1" applyBorder="1" applyFont="1">
      <alignment vertical="center"/>
    </xf>
    <xf borderId="12" fillId="5" fontId="5" numFmtId="165" xfId="0" applyAlignment="1" applyBorder="1" applyFill="1" applyFont="1" applyNumberFormat="1">
      <alignment horizontal="center" vertical="center"/>
    </xf>
    <xf quotePrefix="1" borderId="12" fillId="5" fontId="5" numFmtId="0" xfId="0" applyAlignment="1" applyBorder="1" applyFill="1" applyFont="1">
      <alignment horizontal="left" vertical="center"/>
    </xf>
    <xf borderId="12" fillId="5" fontId="1" numFmtId="0" xfId="0" applyAlignment="1" applyBorder="1" applyFill="1" applyFont="1">
      <alignment horizontal="center" vertical="center"/>
    </xf>
    <xf borderId="13" fillId="5" fontId="1" numFmtId="0" xfId="0" applyAlignment="1" applyBorder="1" applyFill="1" applyFont="1">
      <alignment vertical="center"/>
    </xf>
    <xf quotePrefix="1" borderId="13" fillId="0" fontId="1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horizontal="left" vertical="center"/>
    </xf>
    <xf borderId="13" fillId="0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21" fillId="0" fontId="3" numFmtId="0" xfId="0" applyAlignment="1" applyBorder="1" applyFont="1">
      <alignment vertical="center"/>
    </xf>
    <xf borderId="12" fillId="6" fontId="2" numFmtId="0" xfId="0" applyAlignment="1" applyBorder="1" applyFill="1" applyFont="1">
      <alignment horizontal="center" vertical="center"/>
    </xf>
    <xf quotePrefix="1" borderId="12" fillId="6" fontId="2" numFmtId="0" xfId="0" applyAlignment="1" applyBorder="1" applyFill="1" applyFont="1">
      <alignment horizontal="left" vertical="center"/>
    </xf>
    <xf borderId="13" fillId="6" fontId="2" numFmtId="0" xfId="0" applyAlignment="1" applyBorder="1" applyFill="1" applyFont="1">
      <alignment horizontal="center"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6" fontId="9" numFmtId="0" xfId="0" applyAlignment="1" applyBorder="1" applyFill="1" applyFont="1">
      <alignment horizontal="center" vertical="center"/>
    </xf>
    <xf borderId="25" fillId="0" fontId="3" numFmtId="0" xfId="0" applyAlignment="1" applyBorder="1" applyFont="1">
      <alignment vertical="center"/>
    </xf>
    <xf borderId="26" fillId="6" fontId="1" numFmtId="0" xfId="0" applyAlignment="1" applyBorder="1" applyFill="1" applyFont="1">
      <alignment horizontal="center" vertical="center"/>
    </xf>
    <xf borderId="27" fillId="6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71"/>
    <col customWidth="1" min="3" max="3" width="80.29"/>
    <col customWidth="1" min="4" max="5" width="12.71"/>
    <col customWidth="1" min="6" max="6" width="11.71"/>
    <col customWidth="1" min="7" max="7" width="81.86"/>
    <col customWidth="1" min="8" max="26" width="8.71"/>
  </cols>
  <sheetData>
    <row r="1" ht="16.5" customHeight="1">
      <c r="F1" s="1"/>
    </row>
    <row r="2" ht="77.25" customHeight="1">
      <c r="B2" s="2" t="s">
        <v>0</v>
      </c>
      <c r="C2" s="3"/>
      <c r="D2" s="3"/>
      <c r="E2" s="3"/>
      <c r="F2" s="3"/>
      <c r="G2" s="4"/>
    </row>
    <row r="3" ht="16.5" customHeight="1">
      <c r="F3" s="1"/>
    </row>
    <row r="4" ht="16.5" customHeight="1">
      <c r="A4" s="5"/>
      <c r="B4" s="6" t="s">
        <v>2</v>
      </c>
      <c r="C4" s="7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/>
      <c r="B5" s="6" t="s">
        <v>3</v>
      </c>
      <c r="C5" s="7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3.25" customHeight="1">
      <c r="A6" s="5"/>
      <c r="B6" s="9" t="s">
        <v>4</v>
      </c>
      <c r="C6" s="10"/>
      <c r="D6" s="10"/>
      <c r="E6" s="10"/>
      <c r="F6" s="10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F7" s="1"/>
    </row>
    <row r="8" ht="16.5" customHeight="1">
      <c r="A8" s="5"/>
      <c r="B8" s="12" t="s">
        <v>5</v>
      </c>
      <c r="C8" s="13" t="s">
        <v>6</v>
      </c>
      <c r="D8" s="13" t="s">
        <v>7</v>
      </c>
      <c r="E8" s="13" t="s">
        <v>8</v>
      </c>
      <c r="F8" s="14" t="s">
        <v>9</v>
      </c>
      <c r="G8" s="15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B9" s="16" t="s">
        <v>11</v>
      </c>
      <c r="C9" s="17" t="s">
        <v>12</v>
      </c>
      <c r="D9" s="18"/>
      <c r="E9" s="19" t="s">
        <v>13</v>
      </c>
      <c r="F9" s="20" t="s">
        <v>14</v>
      </c>
      <c r="G9" s="21" t="s">
        <v>15</v>
      </c>
    </row>
    <row r="10" ht="16.5" customHeight="1">
      <c r="B10" s="22"/>
      <c r="C10" s="23"/>
      <c r="D10" s="23"/>
      <c r="E10" s="23"/>
      <c r="F10" s="20" t="s">
        <v>16</v>
      </c>
      <c r="G10" s="21" t="s">
        <v>17</v>
      </c>
    </row>
    <row r="11" ht="16.5" customHeight="1">
      <c r="B11" s="22"/>
      <c r="C11" s="23"/>
      <c r="D11" s="23"/>
      <c r="E11" s="23"/>
      <c r="F11" s="20" t="s">
        <v>18</v>
      </c>
      <c r="G11" s="21" t="s">
        <v>19</v>
      </c>
    </row>
    <row r="12" ht="16.5" customHeight="1">
      <c r="B12" s="22"/>
      <c r="C12" s="24"/>
      <c r="D12" s="24"/>
      <c r="E12" s="24"/>
      <c r="F12" s="20" t="s">
        <v>20</v>
      </c>
      <c r="G12" s="21" t="s">
        <v>21</v>
      </c>
    </row>
    <row r="13" ht="16.5" customHeight="1">
      <c r="B13" s="22"/>
      <c r="C13" s="17" t="s">
        <v>22</v>
      </c>
      <c r="D13" s="18"/>
      <c r="E13" s="19" t="s">
        <v>13</v>
      </c>
      <c r="F13" s="20" t="s">
        <v>14</v>
      </c>
      <c r="G13" s="21" t="s">
        <v>23</v>
      </c>
    </row>
    <row r="14" ht="16.5" customHeight="1">
      <c r="B14" s="22"/>
      <c r="C14" s="23"/>
      <c r="D14" s="23"/>
      <c r="E14" s="23"/>
      <c r="F14" s="25" t="s">
        <v>16</v>
      </c>
      <c r="G14" s="21" t="s">
        <v>24</v>
      </c>
    </row>
    <row r="15" ht="16.5" customHeight="1">
      <c r="B15" s="22"/>
      <c r="C15" s="23"/>
      <c r="D15" s="23"/>
      <c r="E15" s="23"/>
      <c r="F15" s="25" t="s">
        <v>18</v>
      </c>
      <c r="G15" s="21" t="s">
        <v>25</v>
      </c>
    </row>
    <row r="16" ht="16.5" customHeight="1">
      <c r="B16" s="26"/>
      <c r="C16" s="24"/>
      <c r="D16" s="24"/>
      <c r="E16" s="24"/>
      <c r="F16" s="25" t="s">
        <v>20</v>
      </c>
      <c r="G16" s="21" t="s">
        <v>26</v>
      </c>
    </row>
    <row r="17" ht="16.5" customHeight="1">
      <c r="B17" s="27" t="s">
        <v>27</v>
      </c>
      <c r="C17" s="28"/>
      <c r="D17" s="29" t="str">
        <f>IFERROR(AVERAGE(D9:D16),"미입력")</f>
        <v>미입력</v>
      </c>
      <c r="E17" s="30" t="s">
        <v>13</v>
      </c>
      <c r="F17" s="31"/>
      <c r="G17" s="32"/>
    </row>
    <row r="18" ht="66.0" customHeight="1">
      <c r="B18" s="16" t="s">
        <v>29</v>
      </c>
      <c r="C18" s="17" t="s">
        <v>30</v>
      </c>
      <c r="D18" s="18"/>
      <c r="E18" s="19" t="s">
        <v>13</v>
      </c>
      <c r="F18" s="20" t="s">
        <v>14</v>
      </c>
      <c r="G18" s="21" t="s">
        <v>31</v>
      </c>
    </row>
    <row r="19" ht="16.5" customHeight="1">
      <c r="B19" s="22"/>
      <c r="C19" s="23"/>
      <c r="D19" s="23"/>
      <c r="E19" s="23"/>
      <c r="F19" s="20" t="s">
        <v>16</v>
      </c>
      <c r="G19" s="33" t="s">
        <v>32</v>
      </c>
    </row>
    <row r="20" ht="16.5" customHeight="1">
      <c r="B20" s="22"/>
      <c r="C20" s="23"/>
      <c r="D20" s="23"/>
      <c r="E20" s="23"/>
      <c r="F20" s="20" t="s">
        <v>18</v>
      </c>
      <c r="G20" s="21" t="s">
        <v>33</v>
      </c>
    </row>
    <row r="21" ht="16.5" customHeight="1">
      <c r="B21" s="22"/>
      <c r="C21" s="24"/>
      <c r="D21" s="24"/>
      <c r="E21" s="24"/>
      <c r="F21" s="20" t="s">
        <v>20</v>
      </c>
      <c r="G21" s="21" t="s">
        <v>34</v>
      </c>
    </row>
    <row r="22" ht="16.5" customHeight="1">
      <c r="B22" s="22"/>
      <c r="C22" s="17" t="s">
        <v>35</v>
      </c>
      <c r="D22" s="18"/>
      <c r="E22" s="19" t="s">
        <v>13</v>
      </c>
      <c r="F22" s="20" t="s">
        <v>14</v>
      </c>
      <c r="G22" s="21" t="s">
        <v>36</v>
      </c>
    </row>
    <row r="23" ht="16.5" customHeight="1">
      <c r="B23" s="22"/>
      <c r="C23" s="23"/>
      <c r="D23" s="23"/>
      <c r="E23" s="23"/>
      <c r="F23" s="20" t="s">
        <v>16</v>
      </c>
      <c r="G23" s="33" t="s">
        <v>32</v>
      </c>
    </row>
    <row r="24" ht="16.5" customHeight="1">
      <c r="B24" s="22"/>
      <c r="C24" s="23"/>
      <c r="D24" s="23"/>
      <c r="E24" s="23"/>
      <c r="F24" s="20" t="s">
        <v>18</v>
      </c>
      <c r="G24" s="21" t="s">
        <v>33</v>
      </c>
    </row>
    <row r="25" ht="16.5" customHeight="1">
      <c r="B25" s="26"/>
      <c r="C25" s="24"/>
      <c r="D25" s="24"/>
      <c r="E25" s="24"/>
      <c r="F25" s="20" t="s">
        <v>20</v>
      </c>
      <c r="G25" s="21" t="s">
        <v>34</v>
      </c>
    </row>
    <row r="26" ht="16.5" customHeight="1">
      <c r="B26" s="27" t="s">
        <v>37</v>
      </c>
      <c r="C26" s="28"/>
      <c r="D26" s="29" t="str">
        <f>IFERROR(AVERAGE(D18:D25),"미입력")</f>
        <v>미입력</v>
      </c>
      <c r="E26" s="30" t="s">
        <v>13</v>
      </c>
      <c r="F26" s="31"/>
      <c r="G26" s="32"/>
    </row>
    <row r="27" ht="16.5" customHeight="1">
      <c r="B27" s="16" t="s">
        <v>38</v>
      </c>
      <c r="C27" s="17" t="s">
        <v>39</v>
      </c>
      <c r="D27" s="18"/>
      <c r="E27" s="19" t="s">
        <v>13</v>
      </c>
      <c r="F27" s="20" t="s">
        <v>14</v>
      </c>
      <c r="G27" s="21" t="s">
        <v>40</v>
      </c>
    </row>
    <row r="28" ht="16.5" customHeight="1">
      <c r="B28" s="22"/>
      <c r="C28" s="23"/>
      <c r="D28" s="23"/>
      <c r="E28" s="23"/>
      <c r="F28" s="20" t="s">
        <v>16</v>
      </c>
      <c r="G28" s="21" t="s">
        <v>41</v>
      </c>
    </row>
    <row r="29" ht="16.5" customHeight="1">
      <c r="B29" s="22"/>
      <c r="C29" s="23"/>
      <c r="D29" s="23"/>
      <c r="E29" s="23"/>
      <c r="F29" s="20" t="s">
        <v>18</v>
      </c>
      <c r="G29" s="21" t="s">
        <v>42</v>
      </c>
    </row>
    <row r="30" ht="16.5" customHeight="1">
      <c r="B30" s="22"/>
      <c r="C30" s="24"/>
      <c r="D30" s="24"/>
      <c r="E30" s="24"/>
      <c r="F30" s="20" t="s">
        <v>20</v>
      </c>
      <c r="G30" s="21" t="s">
        <v>43</v>
      </c>
    </row>
    <row r="31" ht="16.5" customHeight="1">
      <c r="B31" s="22"/>
      <c r="C31" s="17" t="s">
        <v>44</v>
      </c>
      <c r="D31" s="18"/>
      <c r="E31" s="19" t="s">
        <v>13</v>
      </c>
      <c r="F31" s="20" t="s">
        <v>14</v>
      </c>
      <c r="G31" s="21" t="s">
        <v>45</v>
      </c>
    </row>
    <row r="32" ht="16.5" customHeight="1">
      <c r="B32" s="22"/>
      <c r="C32" s="23"/>
      <c r="D32" s="23"/>
      <c r="E32" s="23"/>
      <c r="F32" s="20" t="s">
        <v>16</v>
      </c>
      <c r="G32" s="21" t="s">
        <v>46</v>
      </c>
    </row>
    <row r="33" ht="16.5" customHeight="1">
      <c r="B33" s="22"/>
      <c r="C33" s="23"/>
      <c r="D33" s="23"/>
      <c r="E33" s="23"/>
      <c r="F33" s="20" t="s">
        <v>18</v>
      </c>
      <c r="G33" s="21" t="s">
        <v>47</v>
      </c>
    </row>
    <row r="34" ht="16.5" customHeight="1">
      <c r="B34" s="22"/>
      <c r="C34" s="24"/>
      <c r="D34" s="24"/>
      <c r="E34" s="24"/>
      <c r="F34" s="20" t="s">
        <v>20</v>
      </c>
      <c r="G34" s="21" t="s">
        <v>48</v>
      </c>
    </row>
    <row r="35" ht="16.5" customHeight="1">
      <c r="B35" s="22"/>
      <c r="C35" s="17" t="s">
        <v>49</v>
      </c>
      <c r="D35" s="18"/>
      <c r="E35" s="19" t="s">
        <v>13</v>
      </c>
      <c r="F35" s="20" t="s">
        <v>14</v>
      </c>
      <c r="G35" s="21" t="s">
        <v>50</v>
      </c>
    </row>
    <row r="36" ht="16.5" customHeight="1">
      <c r="B36" s="22"/>
      <c r="C36" s="23"/>
      <c r="D36" s="23"/>
      <c r="E36" s="23"/>
      <c r="F36" s="20" t="s">
        <v>16</v>
      </c>
      <c r="G36" s="21" t="s">
        <v>51</v>
      </c>
    </row>
    <row r="37" ht="16.5" customHeight="1">
      <c r="B37" s="22"/>
      <c r="C37" s="23"/>
      <c r="D37" s="23"/>
      <c r="E37" s="23"/>
      <c r="F37" s="20" t="s">
        <v>18</v>
      </c>
      <c r="G37" s="21" t="s">
        <v>52</v>
      </c>
    </row>
    <row r="38" ht="16.5" customHeight="1">
      <c r="B38" s="22"/>
      <c r="C38" s="24"/>
      <c r="D38" s="24"/>
      <c r="E38" s="24"/>
      <c r="F38" s="20" t="s">
        <v>20</v>
      </c>
      <c r="G38" s="21" t="s">
        <v>53</v>
      </c>
    </row>
    <row r="39" ht="16.5" customHeight="1">
      <c r="B39" s="27" t="s">
        <v>54</v>
      </c>
      <c r="C39" s="28"/>
      <c r="D39" s="29" t="str">
        <f>IFERROR(ROUND(AVERAGE(D27:D38),1),"미입력")</f>
        <v>미입력</v>
      </c>
      <c r="E39" s="30" t="s">
        <v>13</v>
      </c>
      <c r="F39" s="31"/>
      <c r="G39" s="32"/>
    </row>
    <row r="40" ht="16.5" customHeight="1">
      <c r="B40" s="16" t="s">
        <v>55</v>
      </c>
      <c r="C40" s="34" t="s">
        <v>56</v>
      </c>
      <c r="D40" s="18"/>
      <c r="E40" s="19" t="s">
        <v>13</v>
      </c>
      <c r="F40" s="20" t="s">
        <v>14</v>
      </c>
      <c r="G40" s="35" t="s">
        <v>57</v>
      </c>
    </row>
    <row r="41" ht="16.5" customHeight="1">
      <c r="B41" s="22"/>
      <c r="C41" s="23"/>
      <c r="D41" s="23"/>
      <c r="E41" s="23"/>
      <c r="F41" s="20" t="s">
        <v>16</v>
      </c>
      <c r="G41" s="21" t="s">
        <v>58</v>
      </c>
    </row>
    <row r="42" ht="16.5" customHeight="1">
      <c r="B42" s="22"/>
      <c r="C42" s="23"/>
      <c r="D42" s="23"/>
      <c r="E42" s="23"/>
      <c r="F42" s="20" t="s">
        <v>18</v>
      </c>
      <c r="G42" s="21" t="s">
        <v>59</v>
      </c>
    </row>
    <row r="43" ht="16.5" customHeight="1">
      <c r="B43" s="22"/>
      <c r="C43" s="24"/>
      <c r="D43" s="24"/>
      <c r="E43" s="24"/>
      <c r="F43" s="20" t="s">
        <v>20</v>
      </c>
      <c r="G43" s="21" t="s">
        <v>60</v>
      </c>
    </row>
    <row r="44" ht="16.5" customHeight="1">
      <c r="B44" s="22"/>
      <c r="C44" s="17" t="s">
        <v>61</v>
      </c>
      <c r="D44" s="18"/>
      <c r="E44" s="19" t="s">
        <v>13</v>
      </c>
      <c r="F44" s="20" t="s">
        <v>14</v>
      </c>
      <c r="G44" s="21" t="s">
        <v>62</v>
      </c>
    </row>
    <row r="45" ht="16.5" customHeight="1">
      <c r="B45" s="22"/>
      <c r="C45" s="23"/>
      <c r="D45" s="23"/>
      <c r="E45" s="23"/>
      <c r="F45" s="20" t="s">
        <v>16</v>
      </c>
      <c r="G45" s="21" t="s">
        <v>63</v>
      </c>
    </row>
    <row r="46" ht="16.5" customHeight="1">
      <c r="B46" s="22"/>
      <c r="C46" s="23"/>
      <c r="D46" s="23"/>
      <c r="E46" s="23"/>
      <c r="F46" s="20" t="s">
        <v>18</v>
      </c>
      <c r="G46" s="21" t="s">
        <v>64</v>
      </c>
    </row>
    <row r="47" ht="16.5" customHeight="1">
      <c r="B47" s="26"/>
      <c r="C47" s="24"/>
      <c r="D47" s="24"/>
      <c r="E47" s="24"/>
      <c r="F47" s="20" t="s">
        <v>20</v>
      </c>
      <c r="G47" s="21" t="s">
        <v>65</v>
      </c>
    </row>
    <row r="48" ht="16.5" customHeight="1">
      <c r="B48" s="27" t="s">
        <v>66</v>
      </c>
      <c r="C48" s="28"/>
      <c r="D48" s="29" t="str">
        <f>IFERROR(AVERAGE(D40:D47),"미입력")</f>
        <v>미입력</v>
      </c>
      <c r="E48" s="30" t="s">
        <v>13</v>
      </c>
      <c r="F48" s="31"/>
      <c r="G48" s="32"/>
    </row>
    <row r="49" ht="57.0" customHeight="1">
      <c r="B49" s="16" t="s">
        <v>67</v>
      </c>
      <c r="C49" s="17" t="s">
        <v>68</v>
      </c>
      <c r="D49" s="18"/>
      <c r="E49" s="19" t="s">
        <v>13</v>
      </c>
      <c r="F49" s="20" t="s">
        <v>14</v>
      </c>
      <c r="G49" s="21" t="s">
        <v>69</v>
      </c>
    </row>
    <row r="50" ht="53.25" customHeight="1">
      <c r="B50" s="22"/>
      <c r="C50" s="23"/>
      <c r="D50" s="23"/>
      <c r="E50" s="23"/>
      <c r="F50" s="20" t="s">
        <v>16</v>
      </c>
      <c r="G50" s="21" t="s">
        <v>70</v>
      </c>
    </row>
    <row r="51" ht="89.25" customHeight="1">
      <c r="B51" s="22"/>
      <c r="C51" s="23"/>
      <c r="D51" s="23"/>
      <c r="E51" s="23"/>
      <c r="F51" s="20" t="s">
        <v>18</v>
      </c>
      <c r="G51" s="21" t="s">
        <v>71</v>
      </c>
    </row>
    <row r="52" ht="16.5" customHeight="1">
      <c r="B52" s="22"/>
      <c r="C52" s="24"/>
      <c r="D52" s="24"/>
      <c r="E52" s="24"/>
      <c r="F52" s="20" t="s">
        <v>20</v>
      </c>
      <c r="G52" s="21" t="s">
        <v>72</v>
      </c>
    </row>
    <row r="53" ht="16.5" customHeight="1">
      <c r="B53" s="22"/>
      <c r="C53" s="17" t="s">
        <v>73</v>
      </c>
      <c r="D53" s="18"/>
      <c r="E53" s="19" t="s">
        <v>13</v>
      </c>
      <c r="F53" s="20" t="s">
        <v>14</v>
      </c>
      <c r="G53" s="35" t="s">
        <v>74</v>
      </c>
    </row>
    <row r="54" ht="16.5" customHeight="1">
      <c r="B54" s="22"/>
      <c r="C54" s="23"/>
      <c r="D54" s="23"/>
      <c r="E54" s="23"/>
      <c r="F54" s="20" t="s">
        <v>16</v>
      </c>
      <c r="G54" s="21" t="s">
        <v>75</v>
      </c>
    </row>
    <row r="55" ht="16.5" customHeight="1">
      <c r="B55" s="22"/>
      <c r="C55" s="23"/>
      <c r="D55" s="23"/>
      <c r="E55" s="23"/>
      <c r="F55" s="20" t="s">
        <v>18</v>
      </c>
      <c r="G55" s="21" t="s">
        <v>76</v>
      </c>
    </row>
    <row r="56" ht="16.5" customHeight="1">
      <c r="B56" s="26"/>
      <c r="C56" s="24"/>
      <c r="D56" s="24"/>
      <c r="E56" s="24"/>
      <c r="F56" s="20" t="s">
        <v>20</v>
      </c>
      <c r="G56" s="21" t="s">
        <v>77</v>
      </c>
    </row>
    <row r="57" ht="16.5" customHeight="1">
      <c r="B57" s="27" t="s">
        <v>78</v>
      </c>
      <c r="C57" s="28"/>
      <c r="D57" s="29" t="str">
        <f>IFERROR(AVERAGE(D49:D56),"미입력")</f>
        <v>미입력</v>
      </c>
      <c r="E57" s="30" t="s">
        <v>13</v>
      </c>
      <c r="F57" s="31"/>
      <c r="G57" s="32"/>
    </row>
    <row r="58" ht="16.5" customHeight="1">
      <c r="A58" s="36"/>
      <c r="B58" s="37" t="s">
        <v>86</v>
      </c>
      <c r="C58" s="38"/>
      <c r="D58" s="39">
        <f>IFERROR(D17+D26+D39+D48+D57, 0)</f>
        <v>0</v>
      </c>
      <c r="E58" s="40" t="s">
        <v>87</v>
      </c>
      <c r="F58" s="39"/>
      <c r="G58" s="41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6.5" customHeight="1">
      <c r="B59" s="42"/>
      <c r="C59" s="43"/>
      <c r="D59" s="44" t="str">
        <f>IF(D58&gt;=18,"매우성공적",IF(D58&gt;=14,"성공적",IF(D58&gt;=10,"부분성공적",IF(8&gt;D58,"미흡"))))</f>
        <v>미흡</v>
      </c>
      <c r="E59" s="45"/>
      <c r="F59" s="46"/>
      <c r="G59" s="47"/>
    </row>
    <row r="60" ht="16.5" customHeight="1">
      <c r="F60" s="1"/>
    </row>
    <row r="61" ht="16.5" customHeight="1">
      <c r="F61" s="1"/>
    </row>
    <row r="62" ht="16.5" customHeight="1">
      <c r="F62" s="1"/>
    </row>
    <row r="63" ht="16.5" customHeight="1">
      <c r="F63" s="1"/>
    </row>
    <row r="64" ht="16.5" customHeight="1">
      <c r="F64" s="1"/>
    </row>
    <row r="65" ht="16.5" customHeight="1">
      <c r="F65" s="1"/>
    </row>
    <row r="66" ht="16.5" customHeight="1">
      <c r="F66" s="1"/>
    </row>
    <row r="67" ht="16.5" customHeight="1">
      <c r="F67" s="1"/>
    </row>
    <row r="68" ht="16.5" customHeight="1">
      <c r="F68" s="1"/>
    </row>
    <row r="69" ht="16.5" customHeight="1">
      <c r="F69" s="1"/>
    </row>
    <row r="70" ht="16.5" customHeight="1">
      <c r="F70" s="1"/>
    </row>
    <row r="71" ht="16.5" customHeight="1">
      <c r="F71" s="1"/>
    </row>
    <row r="72" ht="16.5" customHeight="1">
      <c r="F72" s="1"/>
    </row>
    <row r="73" ht="16.5" customHeight="1">
      <c r="F73" s="1"/>
    </row>
    <row r="74" ht="16.5" customHeight="1">
      <c r="F74" s="1"/>
    </row>
    <row r="75" ht="16.5" customHeight="1">
      <c r="F75" s="1"/>
    </row>
    <row r="76" ht="16.5" customHeight="1">
      <c r="F76" s="1"/>
    </row>
    <row r="77" ht="16.5" customHeight="1">
      <c r="F77" s="1"/>
    </row>
    <row r="78" ht="16.5" customHeight="1">
      <c r="F78" s="1"/>
    </row>
    <row r="79" ht="16.5" customHeight="1">
      <c r="F79" s="1"/>
    </row>
    <row r="80" ht="16.5" customHeight="1">
      <c r="F80" s="1"/>
    </row>
    <row r="81" ht="16.5" customHeight="1">
      <c r="F81" s="1"/>
    </row>
    <row r="82" ht="16.5" customHeight="1">
      <c r="F82" s="1"/>
    </row>
    <row r="83" ht="16.5" customHeight="1">
      <c r="F83" s="1"/>
    </row>
    <row r="84" ht="16.5" customHeight="1">
      <c r="F84" s="1"/>
    </row>
    <row r="85" ht="16.5" customHeight="1">
      <c r="F85" s="1"/>
    </row>
    <row r="86" ht="16.5" customHeight="1">
      <c r="F86" s="1"/>
    </row>
    <row r="87" ht="16.5" customHeight="1">
      <c r="F87" s="1"/>
    </row>
    <row r="88" ht="16.5" customHeight="1">
      <c r="F88" s="1"/>
    </row>
    <row r="89" ht="16.5" customHeight="1">
      <c r="F89" s="1"/>
    </row>
    <row r="90" ht="16.5" customHeight="1">
      <c r="F90" s="1"/>
    </row>
    <row r="91" ht="16.5" customHeight="1">
      <c r="F91" s="1"/>
    </row>
    <row r="92" ht="16.5" customHeight="1">
      <c r="F92" s="1"/>
    </row>
    <row r="93" ht="16.5" customHeight="1">
      <c r="F93" s="1"/>
    </row>
    <row r="94" ht="16.5" customHeight="1">
      <c r="F94" s="1"/>
    </row>
    <row r="95" ht="16.5" customHeight="1">
      <c r="F95" s="1"/>
    </row>
    <row r="96" ht="16.5" customHeight="1">
      <c r="F96" s="1"/>
    </row>
    <row r="97" ht="16.5" customHeight="1">
      <c r="F97" s="1"/>
    </row>
    <row r="98" ht="16.5" customHeight="1">
      <c r="F98" s="1"/>
    </row>
    <row r="99" ht="16.5" customHeight="1">
      <c r="F99" s="1"/>
    </row>
    <row r="100" ht="16.5" customHeight="1">
      <c r="F100" s="1"/>
    </row>
    <row r="101" ht="16.5" customHeight="1">
      <c r="F101" s="1"/>
    </row>
    <row r="102" ht="16.5" customHeight="1">
      <c r="F102" s="1"/>
    </row>
    <row r="103" ht="16.5" customHeight="1">
      <c r="F103" s="1"/>
    </row>
    <row r="104" ht="16.5" customHeight="1">
      <c r="F104" s="1"/>
    </row>
    <row r="105" ht="16.5" customHeight="1">
      <c r="F105" s="1"/>
    </row>
    <row r="106" ht="16.5" customHeight="1">
      <c r="F106" s="1"/>
    </row>
    <row r="107" ht="16.5" customHeight="1">
      <c r="F107" s="1"/>
    </row>
    <row r="108" ht="16.5" customHeight="1">
      <c r="F108" s="1"/>
    </row>
    <row r="109" ht="16.5" customHeight="1">
      <c r="F109" s="1"/>
    </row>
    <row r="110" ht="16.5" customHeight="1">
      <c r="F110" s="1"/>
    </row>
    <row r="111" ht="16.5" customHeight="1">
      <c r="F111" s="1"/>
    </row>
    <row r="112" ht="16.5" customHeight="1">
      <c r="F112" s="1"/>
    </row>
    <row r="113" ht="16.5" customHeight="1">
      <c r="F113" s="1"/>
    </row>
    <row r="114" ht="16.5" customHeight="1">
      <c r="F114" s="1"/>
    </row>
    <row r="115" ht="16.5" customHeight="1">
      <c r="F115" s="1"/>
    </row>
    <row r="116" ht="16.5" customHeight="1">
      <c r="F116" s="1"/>
    </row>
    <row r="117" ht="16.5" customHeight="1">
      <c r="F117" s="1"/>
    </row>
    <row r="118" ht="16.5" customHeight="1">
      <c r="F118" s="1"/>
    </row>
    <row r="119" ht="16.5" customHeight="1">
      <c r="F119" s="1"/>
    </row>
    <row r="120" ht="16.5" customHeight="1">
      <c r="F120" s="1"/>
    </row>
    <row r="121" ht="16.5" customHeight="1">
      <c r="F121" s="1"/>
    </row>
    <row r="122" ht="16.5" customHeight="1">
      <c r="F122" s="1"/>
    </row>
    <row r="123" ht="16.5" customHeight="1">
      <c r="F123" s="1"/>
    </row>
    <row r="124" ht="16.5" customHeight="1">
      <c r="F124" s="1"/>
    </row>
    <row r="125" ht="16.5" customHeight="1">
      <c r="F125" s="1"/>
    </row>
    <row r="126" ht="16.5" customHeight="1">
      <c r="F126" s="1"/>
    </row>
    <row r="127" ht="16.5" customHeight="1">
      <c r="F127" s="1"/>
    </row>
    <row r="128" ht="16.5" customHeight="1">
      <c r="F128" s="1"/>
    </row>
    <row r="129" ht="16.5" customHeight="1">
      <c r="F129" s="1"/>
    </row>
    <row r="130" ht="16.5" customHeight="1">
      <c r="F130" s="1"/>
    </row>
    <row r="131" ht="16.5" customHeight="1">
      <c r="F131" s="1"/>
    </row>
    <row r="132" ht="16.5" customHeight="1">
      <c r="F132" s="1"/>
    </row>
    <row r="133" ht="16.5" customHeight="1">
      <c r="F133" s="1"/>
    </row>
    <row r="134" ht="16.5" customHeight="1">
      <c r="F134" s="1"/>
    </row>
    <row r="135" ht="16.5" customHeight="1">
      <c r="F135" s="1"/>
    </row>
    <row r="136" ht="16.5" customHeight="1">
      <c r="F136" s="1"/>
    </row>
    <row r="137" ht="16.5" customHeight="1">
      <c r="F137" s="1"/>
    </row>
    <row r="138" ht="16.5" customHeight="1">
      <c r="F138" s="1"/>
    </row>
    <row r="139" ht="16.5" customHeight="1">
      <c r="F139" s="1"/>
    </row>
    <row r="140" ht="16.5" customHeight="1">
      <c r="F140" s="1"/>
    </row>
    <row r="141" ht="16.5" customHeight="1">
      <c r="F141" s="1"/>
    </row>
    <row r="142" ht="16.5" customHeight="1">
      <c r="F142" s="1"/>
    </row>
    <row r="143" ht="16.5" customHeight="1">
      <c r="F143" s="1"/>
    </row>
    <row r="144" ht="16.5" customHeight="1">
      <c r="F144" s="1"/>
    </row>
    <row r="145" ht="16.5" customHeight="1">
      <c r="F145" s="1"/>
    </row>
    <row r="146" ht="16.5" customHeight="1">
      <c r="F146" s="1"/>
    </row>
    <row r="147" ht="16.5" customHeight="1">
      <c r="F147" s="1"/>
    </row>
    <row r="148" ht="16.5" customHeight="1">
      <c r="F148" s="1"/>
    </row>
    <row r="149" ht="16.5" customHeight="1">
      <c r="F149" s="1"/>
    </row>
    <row r="150" ht="16.5" customHeight="1">
      <c r="F150" s="1"/>
    </row>
    <row r="151" ht="16.5" customHeight="1">
      <c r="F151" s="1"/>
    </row>
    <row r="152" ht="16.5" customHeight="1">
      <c r="F152" s="1"/>
    </row>
    <row r="153" ht="16.5" customHeight="1">
      <c r="F153" s="1"/>
    </row>
    <row r="154" ht="16.5" customHeight="1">
      <c r="F154" s="1"/>
    </row>
    <row r="155" ht="16.5" customHeight="1">
      <c r="F155" s="1"/>
    </row>
    <row r="156" ht="16.5" customHeight="1">
      <c r="F156" s="1"/>
    </row>
    <row r="157" ht="16.5" customHeight="1">
      <c r="F157" s="1"/>
    </row>
    <row r="158" ht="16.5" customHeight="1">
      <c r="F158" s="1"/>
    </row>
    <row r="159" ht="16.5" customHeight="1">
      <c r="F159" s="1"/>
    </row>
    <row r="160" ht="16.5" customHeight="1">
      <c r="F160" s="1"/>
    </row>
    <row r="161" ht="16.5" customHeight="1">
      <c r="F161" s="1"/>
    </row>
    <row r="162" ht="16.5" customHeight="1">
      <c r="F162" s="1"/>
    </row>
    <row r="163" ht="16.5" customHeight="1">
      <c r="F163" s="1"/>
    </row>
    <row r="164" ht="16.5" customHeight="1">
      <c r="F164" s="1"/>
    </row>
    <row r="165" ht="16.5" customHeight="1">
      <c r="F165" s="1"/>
    </row>
    <row r="166" ht="16.5" customHeight="1">
      <c r="F166" s="1"/>
    </row>
    <row r="167" ht="16.5" customHeight="1">
      <c r="F167" s="1"/>
    </row>
    <row r="168" ht="16.5" customHeight="1">
      <c r="F168" s="1"/>
    </row>
    <row r="169" ht="16.5" customHeight="1">
      <c r="F169" s="1"/>
    </row>
    <row r="170" ht="16.5" customHeight="1">
      <c r="F170" s="1"/>
    </row>
    <row r="171" ht="16.5" customHeight="1">
      <c r="F171" s="1"/>
    </row>
    <row r="172" ht="16.5" customHeight="1">
      <c r="F172" s="1"/>
    </row>
    <row r="173" ht="16.5" customHeight="1">
      <c r="F173" s="1"/>
    </row>
    <row r="174" ht="16.5" customHeight="1">
      <c r="F174" s="1"/>
    </row>
    <row r="175" ht="16.5" customHeight="1">
      <c r="F175" s="1"/>
    </row>
    <row r="176" ht="16.5" customHeight="1">
      <c r="F176" s="1"/>
    </row>
    <row r="177" ht="16.5" customHeight="1">
      <c r="F177" s="1"/>
    </row>
    <row r="178" ht="16.5" customHeight="1">
      <c r="F178" s="1"/>
    </row>
    <row r="179" ht="16.5" customHeight="1">
      <c r="F179" s="1"/>
    </row>
    <row r="180" ht="16.5" customHeight="1">
      <c r="F180" s="1"/>
    </row>
    <row r="181" ht="16.5" customHeight="1">
      <c r="F181" s="1"/>
    </row>
    <row r="182" ht="16.5" customHeight="1">
      <c r="F182" s="1"/>
    </row>
    <row r="183" ht="16.5" customHeight="1">
      <c r="F183" s="1"/>
    </row>
    <row r="184" ht="16.5" customHeight="1">
      <c r="F184" s="1"/>
    </row>
    <row r="185" ht="16.5" customHeight="1">
      <c r="F185" s="1"/>
    </row>
    <row r="186" ht="16.5" customHeight="1">
      <c r="F186" s="1"/>
    </row>
    <row r="187" ht="16.5" customHeight="1">
      <c r="F187" s="1"/>
    </row>
    <row r="188" ht="16.5" customHeight="1">
      <c r="F188" s="1"/>
    </row>
    <row r="189" ht="16.5" customHeight="1">
      <c r="F189" s="1"/>
    </row>
    <row r="190" ht="16.5" customHeight="1">
      <c r="F190" s="1"/>
    </row>
    <row r="191" ht="16.5" customHeight="1">
      <c r="F191" s="1"/>
    </row>
    <row r="192" ht="16.5" customHeight="1">
      <c r="F192" s="1"/>
    </row>
    <row r="193" ht="16.5" customHeight="1">
      <c r="F193" s="1"/>
    </row>
    <row r="194" ht="16.5" customHeight="1">
      <c r="F194" s="1"/>
    </row>
    <row r="195" ht="16.5" customHeight="1">
      <c r="F195" s="1"/>
    </row>
    <row r="196" ht="16.5" customHeight="1">
      <c r="F196" s="1"/>
    </row>
    <row r="197" ht="16.5" customHeight="1">
      <c r="F197" s="1"/>
    </row>
    <row r="198" ht="16.5" customHeight="1">
      <c r="F198" s="1"/>
    </row>
    <row r="199" ht="16.5" customHeight="1">
      <c r="F199" s="1"/>
    </row>
    <row r="200" ht="16.5" customHeight="1">
      <c r="F200" s="1"/>
    </row>
    <row r="201" ht="16.5" customHeight="1">
      <c r="F201" s="1"/>
    </row>
    <row r="202" ht="16.5" customHeight="1">
      <c r="F202" s="1"/>
    </row>
    <row r="203" ht="16.5" customHeight="1">
      <c r="F203" s="1"/>
    </row>
    <row r="204" ht="16.5" customHeight="1">
      <c r="F204" s="1"/>
    </row>
    <row r="205" ht="16.5" customHeight="1">
      <c r="F205" s="1"/>
    </row>
    <row r="206" ht="16.5" customHeight="1">
      <c r="F206" s="1"/>
    </row>
    <row r="207" ht="16.5" customHeight="1">
      <c r="F207" s="1"/>
    </row>
    <row r="208" ht="16.5" customHeight="1">
      <c r="F208" s="1"/>
    </row>
    <row r="209" ht="16.5" customHeight="1">
      <c r="F209" s="1"/>
    </row>
    <row r="210" ht="16.5" customHeight="1">
      <c r="F210" s="1"/>
    </row>
    <row r="211" ht="16.5" customHeight="1">
      <c r="F211" s="1"/>
    </row>
    <row r="212" ht="16.5" customHeight="1">
      <c r="F212" s="1"/>
    </row>
    <row r="213" ht="16.5" customHeight="1">
      <c r="F213" s="1"/>
    </row>
    <row r="214" ht="16.5" customHeight="1">
      <c r="F214" s="1"/>
    </row>
    <row r="215" ht="16.5" customHeight="1">
      <c r="F215" s="1"/>
    </row>
    <row r="216" ht="16.5" customHeight="1">
      <c r="F216" s="1"/>
    </row>
    <row r="217" ht="16.5" customHeight="1">
      <c r="F217" s="1"/>
    </row>
    <row r="218" ht="16.5" customHeight="1">
      <c r="F218" s="1"/>
    </row>
    <row r="219" ht="16.5" customHeight="1">
      <c r="F219" s="1"/>
    </row>
    <row r="220" ht="16.5" customHeight="1">
      <c r="F220" s="1"/>
    </row>
    <row r="221" ht="16.5" customHeight="1">
      <c r="F221" s="1"/>
    </row>
    <row r="222" ht="16.5" customHeight="1">
      <c r="F222" s="1"/>
    </row>
    <row r="223" ht="16.5" customHeight="1">
      <c r="F223" s="1"/>
    </row>
    <row r="224" ht="16.5" customHeight="1">
      <c r="F224" s="1"/>
    </row>
    <row r="225" ht="16.5" customHeight="1">
      <c r="F225" s="1"/>
    </row>
    <row r="226" ht="16.5" customHeight="1">
      <c r="F226" s="1"/>
    </row>
    <row r="227" ht="16.5" customHeight="1">
      <c r="F227" s="1"/>
    </row>
    <row r="228" ht="16.5" customHeight="1">
      <c r="F228" s="1"/>
    </row>
    <row r="229" ht="16.5" customHeight="1">
      <c r="F229" s="1"/>
    </row>
    <row r="230" ht="16.5" customHeight="1">
      <c r="F230" s="1"/>
    </row>
    <row r="231" ht="16.5" customHeight="1">
      <c r="F231" s="1"/>
    </row>
    <row r="232" ht="16.5" customHeight="1">
      <c r="F232" s="1"/>
    </row>
    <row r="233" ht="16.5" customHeight="1">
      <c r="F233" s="1"/>
    </row>
    <row r="234" ht="16.5" customHeight="1">
      <c r="F234" s="1"/>
    </row>
    <row r="235" ht="16.5" customHeight="1">
      <c r="F235" s="1"/>
    </row>
    <row r="236" ht="16.5" customHeight="1">
      <c r="F236" s="1"/>
    </row>
    <row r="237" ht="16.5" customHeight="1">
      <c r="F237" s="1"/>
    </row>
    <row r="238" ht="16.5" customHeight="1">
      <c r="F238" s="1"/>
    </row>
    <row r="239" ht="16.5" customHeight="1">
      <c r="F239" s="1"/>
    </row>
    <row r="240" ht="16.5" customHeight="1">
      <c r="F240" s="1"/>
    </row>
    <row r="241" ht="16.5" customHeight="1">
      <c r="F241" s="1"/>
    </row>
    <row r="242" ht="16.5" customHeight="1">
      <c r="F242" s="1"/>
    </row>
    <row r="243" ht="16.5" customHeight="1">
      <c r="F243" s="1"/>
    </row>
    <row r="244" ht="16.5" customHeight="1">
      <c r="F244" s="1"/>
    </row>
    <row r="245" ht="16.5" customHeight="1">
      <c r="F245" s="1"/>
    </row>
    <row r="246" ht="16.5" customHeight="1">
      <c r="F246" s="1"/>
    </row>
    <row r="247" ht="16.5" customHeight="1">
      <c r="F247" s="1"/>
    </row>
    <row r="248" ht="16.5" customHeight="1">
      <c r="F248" s="1"/>
    </row>
    <row r="249" ht="16.5" customHeight="1">
      <c r="F249" s="1"/>
    </row>
    <row r="250" ht="16.5" customHeight="1">
      <c r="F250" s="1"/>
    </row>
    <row r="251" ht="16.5" customHeight="1">
      <c r="F251" s="1"/>
    </row>
    <row r="252" ht="16.5" customHeight="1">
      <c r="F252" s="1"/>
    </row>
    <row r="253" ht="16.5" customHeight="1">
      <c r="F253" s="1"/>
    </row>
    <row r="254" ht="16.5" customHeight="1">
      <c r="F254" s="1"/>
    </row>
    <row r="255" ht="16.5" customHeight="1">
      <c r="F255" s="1"/>
    </row>
    <row r="256" ht="16.5" customHeight="1">
      <c r="F256" s="1"/>
    </row>
    <row r="257" ht="16.5" customHeight="1">
      <c r="F257" s="1"/>
    </row>
    <row r="258" ht="16.5" customHeight="1">
      <c r="F258" s="1"/>
    </row>
    <row r="259" ht="16.5" customHeight="1">
      <c r="F259" s="1"/>
    </row>
    <row r="260" ht="16.5" customHeight="1">
      <c r="F260" s="1"/>
    </row>
    <row r="261" ht="16.5" customHeight="1">
      <c r="F261" s="1"/>
    </row>
    <row r="262" ht="16.5" customHeight="1">
      <c r="F262" s="1"/>
    </row>
    <row r="263" ht="16.5" customHeight="1">
      <c r="F263" s="1"/>
    </row>
    <row r="264" ht="16.5" customHeight="1">
      <c r="F264" s="1"/>
    </row>
    <row r="265" ht="16.5" customHeight="1">
      <c r="F265" s="1"/>
    </row>
    <row r="266" ht="16.5" customHeight="1">
      <c r="F266" s="1"/>
    </row>
    <row r="267" ht="16.5" customHeight="1">
      <c r="F267" s="1"/>
    </row>
    <row r="268" ht="16.5" customHeight="1">
      <c r="F268" s="1"/>
    </row>
    <row r="269" ht="16.5" customHeight="1">
      <c r="F269" s="1"/>
    </row>
    <row r="270" ht="16.5" customHeight="1">
      <c r="F270" s="1"/>
    </row>
    <row r="271" ht="16.5" customHeight="1">
      <c r="F271" s="1"/>
    </row>
    <row r="272" ht="16.5" customHeight="1">
      <c r="F272" s="1"/>
    </row>
    <row r="273" ht="16.5" customHeight="1">
      <c r="F273" s="1"/>
    </row>
    <row r="274" ht="16.5" customHeight="1">
      <c r="F274" s="1"/>
    </row>
    <row r="275" ht="16.5" customHeight="1">
      <c r="F275" s="1"/>
    </row>
    <row r="276" ht="16.5" customHeight="1">
      <c r="F276" s="1"/>
    </row>
    <row r="277" ht="16.5" customHeight="1">
      <c r="F277" s="1"/>
    </row>
    <row r="278" ht="16.5" customHeight="1">
      <c r="F278" s="1"/>
    </row>
    <row r="279" ht="16.5" customHeight="1">
      <c r="F279" s="1"/>
    </row>
    <row r="280" ht="16.5" customHeight="1">
      <c r="F280" s="1"/>
    </row>
    <row r="281" ht="16.5" customHeight="1">
      <c r="F281" s="1"/>
    </row>
    <row r="282" ht="16.5" customHeight="1">
      <c r="F282" s="1"/>
    </row>
    <row r="283" ht="16.5" customHeight="1">
      <c r="F283" s="1"/>
    </row>
    <row r="284" ht="16.5" customHeight="1">
      <c r="F284" s="1"/>
    </row>
    <row r="285" ht="16.5" customHeight="1">
      <c r="F285" s="1"/>
    </row>
    <row r="286" ht="16.5" customHeight="1">
      <c r="F286" s="1"/>
    </row>
    <row r="287" ht="16.5" customHeight="1">
      <c r="F287" s="1"/>
    </row>
    <row r="288" ht="16.5" customHeight="1">
      <c r="F288" s="1"/>
    </row>
    <row r="289" ht="16.5" customHeight="1">
      <c r="F289" s="1"/>
    </row>
    <row r="290" ht="16.5" customHeight="1">
      <c r="F290" s="1"/>
    </row>
    <row r="291" ht="16.5" customHeight="1">
      <c r="F291" s="1"/>
    </row>
    <row r="292" ht="16.5" customHeight="1">
      <c r="F292" s="1"/>
    </row>
    <row r="293" ht="16.5" customHeight="1">
      <c r="F293" s="1"/>
    </row>
    <row r="294" ht="16.5" customHeight="1">
      <c r="F294" s="1"/>
    </row>
    <row r="295" ht="16.5" customHeight="1">
      <c r="F295" s="1"/>
    </row>
    <row r="296" ht="16.5" customHeight="1">
      <c r="F296" s="1"/>
    </row>
    <row r="297" ht="16.5" customHeight="1">
      <c r="F297" s="1"/>
    </row>
    <row r="298" ht="16.5" customHeight="1">
      <c r="F298" s="1"/>
    </row>
    <row r="299" ht="16.5" customHeight="1">
      <c r="F299" s="1"/>
    </row>
    <row r="300" ht="16.5" customHeight="1">
      <c r="F300" s="1"/>
    </row>
    <row r="301" ht="16.5" customHeight="1">
      <c r="F301" s="1"/>
    </row>
    <row r="302" ht="16.5" customHeight="1">
      <c r="F302" s="1"/>
    </row>
    <row r="303" ht="16.5" customHeight="1">
      <c r="F303" s="1"/>
    </row>
    <row r="304" ht="16.5" customHeight="1">
      <c r="F304" s="1"/>
    </row>
    <row r="305" ht="16.5" customHeight="1">
      <c r="F305" s="1"/>
    </row>
    <row r="306" ht="16.5" customHeight="1">
      <c r="F306" s="1"/>
    </row>
    <row r="307" ht="16.5" customHeight="1">
      <c r="F307" s="1"/>
    </row>
    <row r="308" ht="16.5" customHeight="1">
      <c r="F308" s="1"/>
    </row>
    <row r="309" ht="16.5" customHeight="1">
      <c r="F309" s="1"/>
    </row>
    <row r="310" ht="16.5" customHeight="1">
      <c r="F310" s="1"/>
    </row>
    <row r="311" ht="16.5" customHeight="1">
      <c r="F311" s="1"/>
    </row>
    <row r="312" ht="16.5" customHeight="1">
      <c r="F312" s="1"/>
    </row>
    <row r="313" ht="16.5" customHeight="1">
      <c r="F313" s="1"/>
    </row>
    <row r="314" ht="16.5" customHeight="1">
      <c r="F314" s="1"/>
    </row>
    <row r="315" ht="16.5" customHeight="1">
      <c r="F315" s="1"/>
    </row>
    <row r="316" ht="16.5" customHeight="1">
      <c r="F316" s="1"/>
    </row>
    <row r="317" ht="16.5" customHeight="1">
      <c r="F317" s="1"/>
    </row>
    <row r="318" ht="16.5" customHeight="1">
      <c r="F318" s="1"/>
    </row>
    <row r="319" ht="16.5" customHeight="1">
      <c r="F319" s="1"/>
    </row>
    <row r="320" ht="16.5" customHeight="1">
      <c r="F320" s="1"/>
    </row>
    <row r="321" ht="16.5" customHeight="1">
      <c r="F321" s="1"/>
    </row>
    <row r="322" ht="16.5" customHeight="1">
      <c r="F322" s="1"/>
    </row>
    <row r="323" ht="16.5" customHeight="1">
      <c r="F323" s="1"/>
    </row>
    <row r="324" ht="16.5" customHeight="1">
      <c r="F324" s="1"/>
    </row>
    <row r="325" ht="16.5" customHeight="1">
      <c r="F325" s="1"/>
    </row>
    <row r="326" ht="16.5" customHeight="1">
      <c r="F326" s="1"/>
    </row>
    <row r="327" ht="16.5" customHeight="1">
      <c r="F327" s="1"/>
    </row>
    <row r="328" ht="16.5" customHeight="1">
      <c r="F328" s="1"/>
    </row>
    <row r="329" ht="16.5" customHeight="1">
      <c r="F329" s="1"/>
    </row>
    <row r="330" ht="16.5" customHeight="1">
      <c r="F330" s="1"/>
    </row>
    <row r="331" ht="16.5" customHeight="1">
      <c r="F331" s="1"/>
    </row>
    <row r="332" ht="16.5" customHeight="1">
      <c r="F332" s="1"/>
    </row>
    <row r="333" ht="16.5" customHeight="1">
      <c r="F333" s="1"/>
    </row>
    <row r="334" ht="16.5" customHeight="1">
      <c r="F334" s="1"/>
    </row>
    <row r="335" ht="16.5" customHeight="1">
      <c r="F335" s="1"/>
    </row>
    <row r="336" ht="16.5" customHeight="1">
      <c r="F336" s="1"/>
    </row>
    <row r="337" ht="16.5" customHeight="1">
      <c r="F337" s="1"/>
    </row>
    <row r="338" ht="16.5" customHeight="1">
      <c r="F338" s="1"/>
    </row>
    <row r="339" ht="16.5" customHeight="1">
      <c r="F339" s="1"/>
    </row>
    <row r="340" ht="16.5" customHeight="1">
      <c r="F340" s="1"/>
    </row>
    <row r="341" ht="16.5" customHeight="1">
      <c r="F341" s="1"/>
    </row>
    <row r="342" ht="16.5" customHeight="1">
      <c r="F342" s="1"/>
    </row>
    <row r="343" ht="16.5" customHeight="1">
      <c r="F343" s="1"/>
    </row>
    <row r="344" ht="16.5" customHeight="1">
      <c r="F344" s="1"/>
    </row>
    <row r="345" ht="16.5" customHeight="1">
      <c r="F345" s="1"/>
    </row>
    <row r="346" ht="16.5" customHeight="1">
      <c r="F346" s="1"/>
    </row>
    <row r="347" ht="16.5" customHeight="1">
      <c r="F347" s="1"/>
    </row>
    <row r="348" ht="16.5" customHeight="1">
      <c r="F348" s="1"/>
    </row>
    <row r="349" ht="16.5" customHeight="1">
      <c r="F349" s="1"/>
    </row>
    <row r="350" ht="16.5" customHeight="1">
      <c r="F350" s="1"/>
    </row>
    <row r="351" ht="16.5" customHeight="1">
      <c r="F351" s="1"/>
    </row>
    <row r="352" ht="16.5" customHeight="1">
      <c r="F352" s="1"/>
    </row>
    <row r="353" ht="16.5" customHeight="1">
      <c r="F353" s="1"/>
    </row>
    <row r="354" ht="16.5" customHeight="1">
      <c r="F354" s="1"/>
    </row>
    <row r="355" ht="16.5" customHeight="1">
      <c r="F355" s="1"/>
    </row>
    <row r="356" ht="16.5" customHeight="1">
      <c r="F356" s="1"/>
    </row>
    <row r="357" ht="16.5" customHeight="1">
      <c r="F357" s="1"/>
    </row>
    <row r="358" ht="16.5" customHeight="1">
      <c r="F358" s="1"/>
    </row>
    <row r="359" ht="16.5" customHeight="1">
      <c r="F359" s="1"/>
    </row>
    <row r="360" ht="16.5" customHeight="1">
      <c r="F360" s="1"/>
    </row>
    <row r="361" ht="16.5" customHeight="1">
      <c r="F361" s="1"/>
    </row>
    <row r="362" ht="16.5" customHeight="1">
      <c r="F362" s="1"/>
    </row>
    <row r="363" ht="16.5" customHeight="1">
      <c r="F363" s="1"/>
    </row>
    <row r="364" ht="16.5" customHeight="1">
      <c r="F364" s="1"/>
    </row>
    <row r="365" ht="16.5" customHeight="1">
      <c r="F365" s="1"/>
    </row>
    <row r="366" ht="16.5" customHeight="1">
      <c r="F366" s="1"/>
    </row>
    <row r="367" ht="16.5" customHeight="1">
      <c r="F367" s="1"/>
    </row>
    <row r="368" ht="16.5" customHeight="1">
      <c r="F368" s="1"/>
    </row>
    <row r="369" ht="16.5" customHeight="1">
      <c r="F369" s="1"/>
    </row>
    <row r="370" ht="16.5" customHeight="1">
      <c r="F370" s="1"/>
    </row>
    <row r="371" ht="16.5" customHeight="1">
      <c r="F371" s="1"/>
    </row>
    <row r="372" ht="16.5" customHeight="1">
      <c r="F372" s="1"/>
    </row>
    <row r="373" ht="16.5" customHeight="1">
      <c r="F373" s="1"/>
    </row>
    <row r="374" ht="16.5" customHeight="1">
      <c r="F374" s="1"/>
    </row>
    <row r="375" ht="16.5" customHeight="1">
      <c r="F375" s="1"/>
    </row>
    <row r="376" ht="16.5" customHeight="1">
      <c r="F376" s="1"/>
    </row>
    <row r="377" ht="16.5" customHeight="1">
      <c r="F377" s="1"/>
    </row>
    <row r="378" ht="16.5" customHeight="1">
      <c r="F378" s="1"/>
    </row>
    <row r="379" ht="16.5" customHeight="1">
      <c r="F379" s="1"/>
    </row>
    <row r="380" ht="16.5" customHeight="1">
      <c r="F380" s="1"/>
    </row>
    <row r="381" ht="16.5" customHeight="1">
      <c r="F381" s="1"/>
    </row>
    <row r="382" ht="16.5" customHeight="1">
      <c r="F382" s="1"/>
    </row>
    <row r="383" ht="16.5" customHeight="1">
      <c r="F383" s="1"/>
    </row>
    <row r="384" ht="16.5" customHeight="1">
      <c r="F384" s="1"/>
    </row>
    <row r="385" ht="16.5" customHeight="1">
      <c r="F385" s="1"/>
    </row>
    <row r="386" ht="16.5" customHeight="1">
      <c r="F386" s="1"/>
    </row>
    <row r="387" ht="16.5" customHeight="1">
      <c r="F387" s="1"/>
    </row>
    <row r="388" ht="16.5" customHeight="1">
      <c r="F388" s="1"/>
    </row>
    <row r="389" ht="16.5" customHeight="1">
      <c r="F389" s="1"/>
    </row>
    <row r="390" ht="16.5" customHeight="1">
      <c r="F390" s="1"/>
    </row>
    <row r="391" ht="16.5" customHeight="1">
      <c r="F391" s="1"/>
    </row>
    <row r="392" ht="16.5" customHeight="1">
      <c r="F392" s="1"/>
    </row>
    <row r="393" ht="16.5" customHeight="1">
      <c r="F393" s="1"/>
    </row>
    <row r="394" ht="16.5" customHeight="1">
      <c r="F394" s="1"/>
    </row>
    <row r="395" ht="16.5" customHeight="1">
      <c r="F395" s="1"/>
    </row>
    <row r="396" ht="16.5" customHeight="1">
      <c r="F396" s="1"/>
    </row>
    <row r="397" ht="16.5" customHeight="1">
      <c r="F397" s="1"/>
    </row>
    <row r="398" ht="16.5" customHeight="1">
      <c r="F398" s="1"/>
    </row>
    <row r="399" ht="16.5" customHeight="1">
      <c r="F399" s="1"/>
    </row>
    <row r="400" ht="16.5" customHeight="1">
      <c r="F400" s="1"/>
    </row>
    <row r="401" ht="16.5" customHeight="1">
      <c r="F401" s="1"/>
    </row>
    <row r="402" ht="16.5" customHeight="1">
      <c r="F402" s="1"/>
    </row>
    <row r="403" ht="16.5" customHeight="1">
      <c r="F403" s="1"/>
    </row>
    <row r="404" ht="16.5" customHeight="1">
      <c r="F404" s="1"/>
    </row>
    <row r="405" ht="16.5" customHeight="1">
      <c r="F405" s="1"/>
    </row>
    <row r="406" ht="16.5" customHeight="1">
      <c r="F406" s="1"/>
    </row>
    <row r="407" ht="16.5" customHeight="1">
      <c r="F407" s="1"/>
    </row>
    <row r="408" ht="16.5" customHeight="1">
      <c r="F408" s="1"/>
    </row>
    <row r="409" ht="16.5" customHeight="1">
      <c r="F409" s="1"/>
    </row>
    <row r="410" ht="16.5" customHeight="1">
      <c r="F410" s="1"/>
    </row>
    <row r="411" ht="16.5" customHeight="1">
      <c r="F411" s="1"/>
    </row>
    <row r="412" ht="16.5" customHeight="1">
      <c r="F412" s="1"/>
    </row>
    <row r="413" ht="16.5" customHeight="1">
      <c r="F413" s="1"/>
    </row>
    <row r="414" ht="16.5" customHeight="1">
      <c r="F414" s="1"/>
    </row>
    <row r="415" ht="16.5" customHeight="1">
      <c r="F415" s="1"/>
    </row>
    <row r="416" ht="16.5" customHeight="1">
      <c r="F416" s="1"/>
    </row>
    <row r="417" ht="16.5" customHeight="1">
      <c r="F417" s="1"/>
    </row>
    <row r="418" ht="16.5" customHeight="1">
      <c r="F418" s="1"/>
    </row>
    <row r="419" ht="16.5" customHeight="1">
      <c r="F419" s="1"/>
    </row>
    <row r="420" ht="16.5" customHeight="1">
      <c r="F420" s="1"/>
    </row>
    <row r="421" ht="16.5" customHeight="1">
      <c r="F421" s="1"/>
    </row>
    <row r="422" ht="16.5" customHeight="1">
      <c r="F422" s="1"/>
    </row>
    <row r="423" ht="16.5" customHeight="1">
      <c r="F423" s="1"/>
    </row>
    <row r="424" ht="16.5" customHeight="1">
      <c r="F424" s="1"/>
    </row>
    <row r="425" ht="16.5" customHeight="1">
      <c r="F425" s="1"/>
    </row>
    <row r="426" ht="16.5" customHeight="1">
      <c r="F426" s="1"/>
    </row>
    <row r="427" ht="16.5" customHeight="1">
      <c r="F427" s="1"/>
    </row>
    <row r="428" ht="16.5" customHeight="1">
      <c r="F428" s="1"/>
    </row>
    <row r="429" ht="16.5" customHeight="1">
      <c r="F429" s="1"/>
    </row>
    <row r="430" ht="16.5" customHeight="1">
      <c r="F430" s="1"/>
    </row>
    <row r="431" ht="16.5" customHeight="1">
      <c r="F431" s="1"/>
    </row>
    <row r="432" ht="16.5" customHeight="1">
      <c r="F432" s="1"/>
    </row>
    <row r="433" ht="16.5" customHeight="1">
      <c r="F433" s="1"/>
    </row>
    <row r="434" ht="16.5" customHeight="1">
      <c r="F434" s="1"/>
    </row>
    <row r="435" ht="16.5" customHeight="1">
      <c r="F435" s="1"/>
    </row>
    <row r="436" ht="16.5" customHeight="1">
      <c r="F436" s="1"/>
    </row>
    <row r="437" ht="16.5" customHeight="1">
      <c r="F437" s="1"/>
    </row>
    <row r="438" ht="16.5" customHeight="1">
      <c r="F438" s="1"/>
    </row>
    <row r="439" ht="16.5" customHeight="1">
      <c r="F439" s="1"/>
    </row>
    <row r="440" ht="16.5" customHeight="1">
      <c r="F440" s="1"/>
    </row>
    <row r="441" ht="16.5" customHeight="1">
      <c r="F441" s="1"/>
    </row>
    <row r="442" ht="16.5" customHeight="1">
      <c r="F442" s="1"/>
    </row>
    <row r="443" ht="16.5" customHeight="1">
      <c r="F443" s="1"/>
    </row>
    <row r="444" ht="16.5" customHeight="1">
      <c r="F444" s="1"/>
    </row>
    <row r="445" ht="16.5" customHeight="1">
      <c r="F445" s="1"/>
    </row>
    <row r="446" ht="16.5" customHeight="1">
      <c r="F446" s="1"/>
    </row>
    <row r="447" ht="16.5" customHeight="1">
      <c r="F447" s="1"/>
    </row>
    <row r="448" ht="16.5" customHeight="1">
      <c r="F448" s="1"/>
    </row>
    <row r="449" ht="16.5" customHeight="1">
      <c r="F449" s="1"/>
    </row>
    <row r="450" ht="16.5" customHeight="1">
      <c r="F450" s="1"/>
    </row>
    <row r="451" ht="16.5" customHeight="1">
      <c r="F451" s="1"/>
    </row>
    <row r="452" ht="16.5" customHeight="1">
      <c r="F452" s="1"/>
    </row>
    <row r="453" ht="16.5" customHeight="1">
      <c r="F453" s="1"/>
    </row>
    <row r="454" ht="16.5" customHeight="1">
      <c r="F454" s="1"/>
    </row>
    <row r="455" ht="16.5" customHeight="1">
      <c r="F455" s="1"/>
    </row>
    <row r="456" ht="16.5" customHeight="1">
      <c r="F456" s="1"/>
    </row>
    <row r="457" ht="16.5" customHeight="1">
      <c r="F457" s="1"/>
    </row>
    <row r="458" ht="16.5" customHeight="1">
      <c r="F458" s="1"/>
    </row>
    <row r="459" ht="16.5" customHeight="1">
      <c r="F459" s="1"/>
    </row>
    <row r="460" ht="16.5" customHeight="1">
      <c r="F460" s="1"/>
    </row>
    <row r="461" ht="16.5" customHeight="1">
      <c r="F461" s="1"/>
    </row>
    <row r="462" ht="16.5" customHeight="1">
      <c r="F462" s="1"/>
    </row>
    <row r="463" ht="16.5" customHeight="1">
      <c r="F463" s="1"/>
    </row>
    <row r="464" ht="16.5" customHeight="1">
      <c r="F464" s="1"/>
    </row>
    <row r="465" ht="16.5" customHeight="1">
      <c r="F465" s="1"/>
    </row>
    <row r="466" ht="16.5" customHeight="1">
      <c r="F466" s="1"/>
    </row>
    <row r="467" ht="16.5" customHeight="1">
      <c r="F467" s="1"/>
    </row>
    <row r="468" ht="16.5" customHeight="1">
      <c r="F468" s="1"/>
    </row>
    <row r="469" ht="16.5" customHeight="1">
      <c r="F469" s="1"/>
    </row>
    <row r="470" ht="16.5" customHeight="1">
      <c r="F470" s="1"/>
    </row>
    <row r="471" ht="16.5" customHeight="1">
      <c r="F471" s="1"/>
    </row>
    <row r="472" ht="16.5" customHeight="1">
      <c r="F472" s="1"/>
    </row>
    <row r="473" ht="16.5" customHeight="1">
      <c r="F473" s="1"/>
    </row>
    <row r="474" ht="16.5" customHeight="1">
      <c r="F474" s="1"/>
    </row>
    <row r="475" ht="16.5" customHeight="1">
      <c r="F475" s="1"/>
    </row>
    <row r="476" ht="16.5" customHeight="1">
      <c r="F476" s="1"/>
    </row>
    <row r="477" ht="16.5" customHeight="1">
      <c r="F477" s="1"/>
    </row>
    <row r="478" ht="16.5" customHeight="1">
      <c r="F478" s="1"/>
    </row>
    <row r="479" ht="16.5" customHeight="1">
      <c r="F479" s="1"/>
    </row>
    <row r="480" ht="16.5" customHeight="1">
      <c r="F480" s="1"/>
    </row>
    <row r="481" ht="16.5" customHeight="1">
      <c r="F481" s="1"/>
    </row>
    <row r="482" ht="16.5" customHeight="1">
      <c r="F482" s="1"/>
    </row>
    <row r="483" ht="16.5" customHeight="1">
      <c r="F483" s="1"/>
    </row>
    <row r="484" ht="16.5" customHeight="1">
      <c r="F484" s="1"/>
    </row>
    <row r="485" ht="16.5" customHeight="1">
      <c r="F485" s="1"/>
    </row>
    <row r="486" ht="16.5" customHeight="1">
      <c r="F486" s="1"/>
    </row>
    <row r="487" ht="16.5" customHeight="1">
      <c r="F487" s="1"/>
    </row>
    <row r="488" ht="16.5" customHeight="1">
      <c r="F488" s="1"/>
    </row>
    <row r="489" ht="16.5" customHeight="1">
      <c r="F489" s="1"/>
    </row>
    <row r="490" ht="16.5" customHeight="1">
      <c r="F490" s="1"/>
    </row>
    <row r="491" ht="16.5" customHeight="1">
      <c r="F491" s="1"/>
    </row>
    <row r="492" ht="16.5" customHeight="1">
      <c r="F492" s="1"/>
    </row>
    <row r="493" ht="16.5" customHeight="1">
      <c r="F493" s="1"/>
    </row>
    <row r="494" ht="16.5" customHeight="1">
      <c r="F494" s="1"/>
    </row>
    <row r="495" ht="16.5" customHeight="1">
      <c r="F495" s="1"/>
    </row>
    <row r="496" ht="16.5" customHeight="1">
      <c r="F496" s="1"/>
    </row>
    <row r="497" ht="16.5" customHeight="1">
      <c r="F497" s="1"/>
    </row>
    <row r="498" ht="16.5" customHeight="1">
      <c r="F498" s="1"/>
    </row>
    <row r="499" ht="16.5" customHeight="1">
      <c r="F499" s="1"/>
    </row>
    <row r="500" ht="16.5" customHeight="1">
      <c r="F500" s="1"/>
    </row>
    <row r="501" ht="16.5" customHeight="1">
      <c r="F501" s="1"/>
    </row>
    <row r="502" ht="16.5" customHeight="1">
      <c r="F502" s="1"/>
    </row>
    <row r="503" ht="16.5" customHeight="1">
      <c r="F503" s="1"/>
    </row>
    <row r="504" ht="16.5" customHeight="1">
      <c r="F504" s="1"/>
    </row>
    <row r="505" ht="16.5" customHeight="1">
      <c r="F505" s="1"/>
    </row>
    <row r="506" ht="16.5" customHeight="1">
      <c r="F506" s="1"/>
    </row>
    <row r="507" ht="16.5" customHeight="1">
      <c r="F507" s="1"/>
    </row>
    <row r="508" ht="16.5" customHeight="1">
      <c r="F508" s="1"/>
    </row>
    <row r="509" ht="16.5" customHeight="1">
      <c r="F509" s="1"/>
    </row>
    <row r="510" ht="16.5" customHeight="1">
      <c r="F510" s="1"/>
    </row>
    <row r="511" ht="16.5" customHeight="1">
      <c r="F511" s="1"/>
    </row>
    <row r="512" ht="16.5" customHeight="1">
      <c r="F512" s="1"/>
    </row>
    <row r="513" ht="16.5" customHeight="1">
      <c r="F513" s="1"/>
    </row>
    <row r="514" ht="16.5" customHeight="1">
      <c r="F514" s="1"/>
    </row>
    <row r="515" ht="16.5" customHeight="1">
      <c r="F515" s="1"/>
    </row>
    <row r="516" ht="16.5" customHeight="1">
      <c r="F516" s="1"/>
    </row>
    <row r="517" ht="16.5" customHeight="1">
      <c r="F517" s="1"/>
    </row>
    <row r="518" ht="16.5" customHeight="1">
      <c r="F518" s="1"/>
    </row>
    <row r="519" ht="16.5" customHeight="1">
      <c r="F519" s="1"/>
    </row>
    <row r="520" ht="16.5" customHeight="1">
      <c r="F520" s="1"/>
    </row>
    <row r="521" ht="16.5" customHeight="1">
      <c r="F521" s="1"/>
    </row>
    <row r="522" ht="16.5" customHeight="1">
      <c r="F522" s="1"/>
    </row>
    <row r="523" ht="16.5" customHeight="1">
      <c r="F523" s="1"/>
    </row>
    <row r="524" ht="16.5" customHeight="1">
      <c r="F524" s="1"/>
    </row>
    <row r="525" ht="16.5" customHeight="1">
      <c r="F525" s="1"/>
    </row>
    <row r="526" ht="16.5" customHeight="1">
      <c r="F526" s="1"/>
    </row>
    <row r="527" ht="16.5" customHeight="1">
      <c r="F527" s="1"/>
    </row>
    <row r="528" ht="16.5" customHeight="1">
      <c r="F528" s="1"/>
    </row>
    <row r="529" ht="16.5" customHeight="1">
      <c r="F529" s="1"/>
    </row>
    <row r="530" ht="16.5" customHeight="1">
      <c r="F530" s="1"/>
    </row>
    <row r="531" ht="16.5" customHeight="1">
      <c r="F531" s="1"/>
    </row>
    <row r="532" ht="16.5" customHeight="1">
      <c r="F532" s="1"/>
    </row>
    <row r="533" ht="16.5" customHeight="1">
      <c r="F533" s="1"/>
    </row>
    <row r="534" ht="16.5" customHeight="1">
      <c r="F534" s="1"/>
    </row>
    <row r="535" ht="16.5" customHeight="1">
      <c r="F535" s="1"/>
    </row>
    <row r="536" ht="16.5" customHeight="1">
      <c r="F536" s="1"/>
    </row>
    <row r="537" ht="16.5" customHeight="1">
      <c r="F537" s="1"/>
    </row>
    <row r="538" ht="16.5" customHeight="1">
      <c r="F538" s="1"/>
    </row>
    <row r="539" ht="16.5" customHeight="1">
      <c r="F539" s="1"/>
    </row>
    <row r="540" ht="16.5" customHeight="1">
      <c r="F540" s="1"/>
    </row>
    <row r="541" ht="16.5" customHeight="1">
      <c r="F541" s="1"/>
    </row>
    <row r="542" ht="16.5" customHeight="1">
      <c r="F542" s="1"/>
    </row>
    <row r="543" ht="16.5" customHeight="1">
      <c r="F543" s="1"/>
    </row>
    <row r="544" ht="16.5" customHeight="1">
      <c r="F544" s="1"/>
    </row>
    <row r="545" ht="16.5" customHeight="1">
      <c r="F545" s="1"/>
    </row>
    <row r="546" ht="16.5" customHeight="1">
      <c r="F546" s="1"/>
    </row>
    <row r="547" ht="16.5" customHeight="1">
      <c r="F547" s="1"/>
    </row>
    <row r="548" ht="16.5" customHeight="1">
      <c r="F548" s="1"/>
    </row>
    <row r="549" ht="16.5" customHeight="1">
      <c r="F549" s="1"/>
    </row>
    <row r="550" ht="16.5" customHeight="1">
      <c r="F550" s="1"/>
    </row>
    <row r="551" ht="16.5" customHeight="1">
      <c r="F551" s="1"/>
    </row>
    <row r="552" ht="16.5" customHeight="1">
      <c r="F552" s="1"/>
    </row>
    <row r="553" ht="16.5" customHeight="1">
      <c r="F553" s="1"/>
    </row>
    <row r="554" ht="16.5" customHeight="1">
      <c r="F554" s="1"/>
    </row>
    <row r="555" ht="16.5" customHeight="1">
      <c r="F555" s="1"/>
    </row>
    <row r="556" ht="16.5" customHeight="1">
      <c r="F556" s="1"/>
    </row>
    <row r="557" ht="16.5" customHeight="1">
      <c r="F557" s="1"/>
    </row>
    <row r="558" ht="16.5" customHeight="1">
      <c r="F558" s="1"/>
    </row>
    <row r="559" ht="16.5" customHeight="1">
      <c r="F559" s="1"/>
    </row>
    <row r="560" ht="16.5" customHeight="1">
      <c r="F560" s="1"/>
    </row>
    <row r="561" ht="16.5" customHeight="1">
      <c r="F561" s="1"/>
    </row>
    <row r="562" ht="16.5" customHeight="1">
      <c r="F562" s="1"/>
    </row>
    <row r="563" ht="16.5" customHeight="1">
      <c r="F563" s="1"/>
    </row>
    <row r="564" ht="16.5" customHeight="1">
      <c r="F564" s="1"/>
    </row>
    <row r="565" ht="16.5" customHeight="1">
      <c r="F565" s="1"/>
    </row>
    <row r="566" ht="16.5" customHeight="1">
      <c r="F566" s="1"/>
    </row>
    <row r="567" ht="16.5" customHeight="1">
      <c r="F567" s="1"/>
    </row>
    <row r="568" ht="16.5" customHeight="1">
      <c r="F568" s="1"/>
    </row>
    <row r="569" ht="16.5" customHeight="1">
      <c r="F569" s="1"/>
    </row>
    <row r="570" ht="16.5" customHeight="1">
      <c r="F570" s="1"/>
    </row>
    <row r="571" ht="16.5" customHeight="1">
      <c r="F571" s="1"/>
    </row>
    <row r="572" ht="16.5" customHeight="1">
      <c r="F572" s="1"/>
    </row>
    <row r="573" ht="16.5" customHeight="1">
      <c r="F573" s="1"/>
    </row>
    <row r="574" ht="16.5" customHeight="1">
      <c r="F574" s="1"/>
    </row>
    <row r="575" ht="16.5" customHeight="1">
      <c r="F575" s="1"/>
    </row>
    <row r="576" ht="16.5" customHeight="1">
      <c r="F576" s="1"/>
    </row>
    <row r="577" ht="16.5" customHeight="1">
      <c r="F577" s="1"/>
    </row>
    <row r="578" ht="16.5" customHeight="1">
      <c r="F578" s="1"/>
    </row>
    <row r="579" ht="16.5" customHeight="1">
      <c r="F579" s="1"/>
    </row>
    <row r="580" ht="16.5" customHeight="1">
      <c r="F580" s="1"/>
    </row>
    <row r="581" ht="16.5" customHeight="1">
      <c r="F581" s="1"/>
    </row>
    <row r="582" ht="16.5" customHeight="1">
      <c r="F582" s="1"/>
    </row>
    <row r="583" ht="16.5" customHeight="1">
      <c r="F583" s="1"/>
    </row>
    <row r="584" ht="16.5" customHeight="1">
      <c r="F584" s="1"/>
    </row>
    <row r="585" ht="16.5" customHeight="1">
      <c r="F585" s="1"/>
    </row>
    <row r="586" ht="16.5" customHeight="1">
      <c r="F586" s="1"/>
    </row>
    <row r="587" ht="16.5" customHeight="1">
      <c r="F587" s="1"/>
    </row>
    <row r="588" ht="16.5" customHeight="1">
      <c r="F588" s="1"/>
    </row>
    <row r="589" ht="16.5" customHeight="1">
      <c r="F589" s="1"/>
    </row>
    <row r="590" ht="16.5" customHeight="1">
      <c r="F590" s="1"/>
    </row>
    <row r="591" ht="16.5" customHeight="1">
      <c r="F591" s="1"/>
    </row>
    <row r="592" ht="16.5" customHeight="1">
      <c r="F592" s="1"/>
    </row>
    <row r="593" ht="16.5" customHeight="1">
      <c r="F593" s="1"/>
    </row>
    <row r="594" ht="16.5" customHeight="1">
      <c r="F594" s="1"/>
    </row>
    <row r="595" ht="16.5" customHeight="1">
      <c r="F595" s="1"/>
    </row>
    <row r="596" ht="16.5" customHeight="1">
      <c r="F596" s="1"/>
    </row>
    <row r="597" ht="16.5" customHeight="1">
      <c r="F597" s="1"/>
    </row>
    <row r="598" ht="16.5" customHeight="1">
      <c r="F598" s="1"/>
    </row>
    <row r="599" ht="16.5" customHeight="1">
      <c r="F599" s="1"/>
    </row>
    <row r="600" ht="16.5" customHeight="1">
      <c r="F600" s="1"/>
    </row>
    <row r="601" ht="16.5" customHeight="1">
      <c r="F601" s="1"/>
    </row>
    <row r="602" ht="16.5" customHeight="1">
      <c r="F602" s="1"/>
    </row>
    <row r="603" ht="16.5" customHeight="1">
      <c r="F603" s="1"/>
    </row>
    <row r="604" ht="16.5" customHeight="1">
      <c r="F604" s="1"/>
    </row>
    <row r="605" ht="16.5" customHeight="1">
      <c r="F605" s="1"/>
    </row>
    <row r="606" ht="16.5" customHeight="1">
      <c r="F606" s="1"/>
    </row>
    <row r="607" ht="16.5" customHeight="1">
      <c r="F607" s="1"/>
    </row>
    <row r="608" ht="16.5" customHeight="1">
      <c r="F608" s="1"/>
    </row>
    <row r="609" ht="16.5" customHeight="1">
      <c r="F609" s="1"/>
    </row>
    <row r="610" ht="16.5" customHeight="1">
      <c r="F610" s="1"/>
    </row>
    <row r="611" ht="16.5" customHeight="1">
      <c r="F611" s="1"/>
    </row>
    <row r="612" ht="16.5" customHeight="1">
      <c r="F612" s="1"/>
    </row>
    <row r="613" ht="16.5" customHeight="1">
      <c r="F613" s="1"/>
    </row>
    <row r="614" ht="16.5" customHeight="1">
      <c r="F614" s="1"/>
    </row>
    <row r="615" ht="16.5" customHeight="1">
      <c r="F615" s="1"/>
    </row>
    <row r="616" ht="16.5" customHeight="1">
      <c r="F616" s="1"/>
    </row>
    <row r="617" ht="16.5" customHeight="1">
      <c r="F617" s="1"/>
    </row>
    <row r="618" ht="16.5" customHeight="1">
      <c r="F618" s="1"/>
    </row>
    <row r="619" ht="16.5" customHeight="1">
      <c r="F619" s="1"/>
    </row>
    <row r="620" ht="16.5" customHeight="1">
      <c r="F620" s="1"/>
    </row>
    <row r="621" ht="16.5" customHeight="1">
      <c r="F621" s="1"/>
    </row>
    <row r="622" ht="16.5" customHeight="1">
      <c r="F622" s="1"/>
    </row>
    <row r="623" ht="16.5" customHeight="1">
      <c r="F623" s="1"/>
    </row>
    <row r="624" ht="16.5" customHeight="1">
      <c r="F624" s="1"/>
    </row>
    <row r="625" ht="16.5" customHeight="1">
      <c r="F625" s="1"/>
    </row>
    <row r="626" ht="16.5" customHeight="1">
      <c r="F626" s="1"/>
    </row>
    <row r="627" ht="16.5" customHeight="1">
      <c r="F627" s="1"/>
    </row>
    <row r="628" ht="16.5" customHeight="1">
      <c r="F628" s="1"/>
    </row>
    <row r="629" ht="16.5" customHeight="1">
      <c r="F629" s="1"/>
    </row>
    <row r="630" ht="16.5" customHeight="1">
      <c r="F630" s="1"/>
    </row>
    <row r="631" ht="16.5" customHeight="1">
      <c r="F631" s="1"/>
    </row>
    <row r="632" ht="16.5" customHeight="1">
      <c r="F632" s="1"/>
    </row>
    <row r="633" ht="16.5" customHeight="1">
      <c r="F633" s="1"/>
    </row>
    <row r="634" ht="16.5" customHeight="1">
      <c r="F634" s="1"/>
    </row>
    <row r="635" ht="16.5" customHeight="1">
      <c r="F635" s="1"/>
    </row>
    <row r="636" ht="16.5" customHeight="1">
      <c r="F636" s="1"/>
    </row>
    <row r="637" ht="16.5" customHeight="1">
      <c r="F637" s="1"/>
    </row>
    <row r="638" ht="16.5" customHeight="1">
      <c r="F638" s="1"/>
    </row>
    <row r="639" ht="16.5" customHeight="1">
      <c r="F639" s="1"/>
    </row>
    <row r="640" ht="16.5" customHeight="1">
      <c r="F640" s="1"/>
    </row>
    <row r="641" ht="16.5" customHeight="1">
      <c r="F641" s="1"/>
    </row>
    <row r="642" ht="16.5" customHeight="1">
      <c r="F642" s="1"/>
    </row>
    <row r="643" ht="16.5" customHeight="1">
      <c r="F643" s="1"/>
    </row>
    <row r="644" ht="16.5" customHeight="1">
      <c r="F644" s="1"/>
    </row>
    <row r="645" ht="16.5" customHeight="1">
      <c r="F645" s="1"/>
    </row>
    <row r="646" ht="16.5" customHeight="1">
      <c r="F646" s="1"/>
    </row>
    <row r="647" ht="16.5" customHeight="1">
      <c r="F647" s="1"/>
    </row>
    <row r="648" ht="16.5" customHeight="1">
      <c r="F648" s="1"/>
    </row>
    <row r="649" ht="16.5" customHeight="1">
      <c r="F649" s="1"/>
    </row>
    <row r="650" ht="16.5" customHeight="1">
      <c r="F650" s="1"/>
    </row>
    <row r="651" ht="16.5" customHeight="1">
      <c r="F651" s="1"/>
    </row>
    <row r="652" ht="16.5" customHeight="1">
      <c r="F652" s="1"/>
    </row>
    <row r="653" ht="16.5" customHeight="1">
      <c r="F653" s="1"/>
    </row>
    <row r="654" ht="16.5" customHeight="1">
      <c r="F654" s="1"/>
    </row>
    <row r="655" ht="16.5" customHeight="1">
      <c r="F655" s="1"/>
    </row>
    <row r="656" ht="16.5" customHeight="1">
      <c r="F656" s="1"/>
    </row>
    <row r="657" ht="16.5" customHeight="1">
      <c r="F657" s="1"/>
    </row>
    <row r="658" ht="16.5" customHeight="1">
      <c r="F658" s="1"/>
    </row>
    <row r="659" ht="16.5" customHeight="1">
      <c r="F659" s="1"/>
    </row>
    <row r="660" ht="16.5" customHeight="1">
      <c r="F660" s="1"/>
    </row>
    <row r="661" ht="16.5" customHeight="1">
      <c r="F661" s="1"/>
    </row>
    <row r="662" ht="16.5" customHeight="1">
      <c r="F662" s="1"/>
    </row>
    <row r="663" ht="16.5" customHeight="1">
      <c r="F663" s="1"/>
    </row>
    <row r="664" ht="16.5" customHeight="1">
      <c r="F664" s="1"/>
    </row>
    <row r="665" ht="16.5" customHeight="1">
      <c r="F665" s="1"/>
    </row>
    <row r="666" ht="16.5" customHeight="1">
      <c r="F666" s="1"/>
    </row>
    <row r="667" ht="16.5" customHeight="1">
      <c r="F667" s="1"/>
    </row>
    <row r="668" ht="16.5" customHeight="1">
      <c r="F668" s="1"/>
    </row>
    <row r="669" ht="16.5" customHeight="1">
      <c r="F669" s="1"/>
    </row>
    <row r="670" ht="16.5" customHeight="1">
      <c r="F670" s="1"/>
    </row>
    <row r="671" ht="16.5" customHeight="1">
      <c r="F671" s="1"/>
    </row>
    <row r="672" ht="16.5" customHeight="1">
      <c r="F672" s="1"/>
    </row>
    <row r="673" ht="16.5" customHeight="1">
      <c r="F673" s="1"/>
    </row>
    <row r="674" ht="16.5" customHeight="1">
      <c r="F674" s="1"/>
    </row>
    <row r="675" ht="16.5" customHeight="1">
      <c r="F675" s="1"/>
    </row>
    <row r="676" ht="16.5" customHeight="1">
      <c r="F676" s="1"/>
    </row>
    <row r="677" ht="16.5" customHeight="1">
      <c r="F677" s="1"/>
    </row>
    <row r="678" ht="16.5" customHeight="1">
      <c r="F678" s="1"/>
    </row>
    <row r="679" ht="16.5" customHeight="1">
      <c r="F679" s="1"/>
    </row>
    <row r="680" ht="16.5" customHeight="1">
      <c r="F680" s="1"/>
    </row>
    <row r="681" ht="16.5" customHeight="1">
      <c r="F681" s="1"/>
    </row>
    <row r="682" ht="16.5" customHeight="1">
      <c r="F682" s="1"/>
    </row>
    <row r="683" ht="16.5" customHeight="1">
      <c r="F683" s="1"/>
    </row>
    <row r="684" ht="16.5" customHeight="1">
      <c r="F684" s="1"/>
    </row>
    <row r="685" ht="16.5" customHeight="1">
      <c r="F685" s="1"/>
    </row>
    <row r="686" ht="16.5" customHeight="1">
      <c r="F686" s="1"/>
    </row>
    <row r="687" ht="16.5" customHeight="1">
      <c r="F687" s="1"/>
    </row>
    <row r="688" ht="16.5" customHeight="1">
      <c r="F688" s="1"/>
    </row>
    <row r="689" ht="16.5" customHeight="1">
      <c r="F689" s="1"/>
    </row>
    <row r="690" ht="16.5" customHeight="1">
      <c r="F690" s="1"/>
    </row>
    <row r="691" ht="16.5" customHeight="1">
      <c r="F691" s="1"/>
    </row>
    <row r="692" ht="16.5" customHeight="1">
      <c r="F692" s="1"/>
    </row>
    <row r="693" ht="16.5" customHeight="1">
      <c r="F693" s="1"/>
    </row>
    <row r="694" ht="16.5" customHeight="1">
      <c r="F694" s="1"/>
    </row>
    <row r="695" ht="16.5" customHeight="1">
      <c r="F695" s="1"/>
    </row>
    <row r="696" ht="16.5" customHeight="1">
      <c r="F696" s="1"/>
    </row>
    <row r="697" ht="16.5" customHeight="1">
      <c r="F697" s="1"/>
    </row>
    <row r="698" ht="16.5" customHeight="1">
      <c r="F698" s="1"/>
    </row>
    <row r="699" ht="16.5" customHeight="1">
      <c r="F699" s="1"/>
    </row>
    <row r="700" ht="16.5" customHeight="1">
      <c r="F700" s="1"/>
    </row>
    <row r="701" ht="16.5" customHeight="1">
      <c r="F701" s="1"/>
    </row>
    <row r="702" ht="16.5" customHeight="1">
      <c r="F702" s="1"/>
    </row>
    <row r="703" ht="16.5" customHeight="1">
      <c r="F703" s="1"/>
    </row>
    <row r="704" ht="16.5" customHeight="1">
      <c r="F704" s="1"/>
    </row>
    <row r="705" ht="16.5" customHeight="1">
      <c r="F705" s="1"/>
    </row>
    <row r="706" ht="16.5" customHeight="1">
      <c r="F706" s="1"/>
    </row>
    <row r="707" ht="16.5" customHeight="1">
      <c r="F707" s="1"/>
    </row>
    <row r="708" ht="16.5" customHeight="1">
      <c r="F708" s="1"/>
    </row>
    <row r="709" ht="16.5" customHeight="1">
      <c r="F709" s="1"/>
    </row>
    <row r="710" ht="16.5" customHeight="1">
      <c r="F710" s="1"/>
    </row>
    <row r="711" ht="16.5" customHeight="1">
      <c r="F711" s="1"/>
    </row>
    <row r="712" ht="16.5" customHeight="1">
      <c r="F712" s="1"/>
    </row>
    <row r="713" ht="16.5" customHeight="1">
      <c r="F713" s="1"/>
    </row>
    <row r="714" ht="16.5" customHeight="1">
      <c r="F714" s="1"/>
    </row>
    <row r="715" ht="16.5" customHeight="1">
      <c r="F715" s="1"/>
    </row>
    <row r="716" ht="16.5" customHeight="1">
      <c r="F716" s="1"/>
    </row>
    <row r="717" ht="16.5" customHeight="1">
      <c r="F717" s="1"/>
    </row>
    <row r="718" ht="16.5" customHeight="1">
      <c r="F718" s="1"/>
    </row>
    <row r="719" ht="16.5" customHeight="1">
      <c r="F719" s="1"/>
    </row>
    <row r="720" ht="16.5" customHeight="1">
      <c r="F720" s="1"/>
    </row>
    <row r="721" ht="16.5" customHeight="1">
      <c r="F721" s="1"/>
    </row>
    <row r="722" ht="16.5" customHeight="1">
      <c r="F722" s="1"/>
    </row>
    <row r="723" ht="16.5" customHeight="1">
      <c r="F723" s="1"/>
    </row>
    <row r="724" ht="16.5" customHeight="1">
      <c r="F724" s="1"/>
    </row>
    <row r="725" ht="16.5" customHeight="1">
      <c r="F725" s="1"/>
    </row>
    <row r="726" ht="16.5" customHeight="1">
      <c r="F726" s="1"/>
    </row>
    <row r="727" ht="16.5" customHeight="1">
      <c r="F727" s="1"/>
    </row>
    <row r="728" ht="16.5" customHeight="1">
      <c r="F728" s="1"/>
    </row>
    <row r="729" ht="16.5" customHeight="1">
      <c r="F729" s="1"/>
    </row>
    <row r="730" ht="16.5" customHeight="1">
      <c r="F730" s="1"/>
    </row>
    <row r="731" ht="16.5" customHeight="1">
      <c r="F731" s="1"/>
    </row>
    <row r="732" ht="16.5" customHeight="1">
      <c r="F732" s="1"/>
    </row>
    <row r="733" ht="16.5" customHeight="1">
      <c r="F733" s="1"/>
    </row>
    <row r="734" ht="16.5" customHeight="1">
      <c r="F734" s="1"/>
    </row>
    <row r="735" ht="16.5" customHeight="1">
      <c r="F735" s="1"/>
    </row>
    <row r="736" ht="16.5" customHeight="1">
      <c r="F736" s="1"/>
    </row>
    <row r="737" ht="16.5" customHeight="1">
      <c r="F737" s="1"/>
    </row>
    <row r="738" ht="16.5" customHeight="1">
      <c r="F738" s="1"/>
    </row>
    <row r="739" ht="16.5" customHeight="1">
      <c r="F739" s="1"/>
    </row>
    <row r="740" ht="16.5" customHeight="1">
      <c r="F740" s="1"/>
    </row>
    <row r="741" ht="16.5" customHeight="1">
      <c r="F741" s="1"/>
    </row>
    <row r="742" ht="16.5" customHeight="1">
      <c r="F742" s="1"/>
    </row>
    <row r="743" ht="16.5" customHeight="1">
      <c r="F743" s="1"/>
    </row>
    <row r="744" ht="16.5" customHeight="1">
      <c r="F744" s="1"/>
    </row>
    <row r="745" ht="16.5" customHeight="1">
      <c r="F745" s="1"/>
    </row>
    <row r="746" ht="16.5" customHeight="1">
      <c r="F746" s="1"/>
    </row>
    <row r="747" ht="16.5" customHeight="1">
      <c r="F747" s="1"/>
    </row>
    <row r="748" ht="16.5" customHeight="1">
      <c r="F748" s="1"/>
    </row>
    <row r="749" ht="16.5" customHeight="1">
      <c r="F749" s="1"/>
    </row>
    <row r="750" ht="16.5" customHeight="1">
      <c r="F750" s="1"/>
    </row>
    <row r="751" ht="16.5" customHeight="1">
      <c r="F751" s="1"/>
    </row>
    <row r="752" ht="16.5" customHeight="1">
      <c r="F752" s="1"/>
    </row>
    <row r="753" ht="16.5" customHeight="1">
      <c r="F753" s="1"/>
    </row>
    <row r="754" ht="16.5" customHeight="1">
      <c r="F754" s="1"/>
    </row>
    <row r="755" ht="16.5" customHeight="1">
      <c r="F755" s="1"/>
    </row>
    <row r="756" ht="16.5" customHeight="1">
      <c r="F756" s="1"/>
    </row>
    <row r="757" ht="16.5" customHeight="1">
      <c r="F757" s="1"/>
    </row>
    <row r="758" ht="16.5" customHeight="1">
      <c r="F758" s="1"/>
    </row>
    <row r="759" ht="16.5" customHeight="1">
      <c r="F759" s="1"/>
    </row>
    <row r="760" ht="16.5" customHeight="1">
      <c r="F760" s="1"/>
    </row>
    <row r="761" ht="16.5" customHeight="1">
      <c r="F761" s="1"/>
    </row>
    <row r="762" ht="16.5" customHeight="1">
      <c r="F762" s="1"/>
    </row>
    <row r="763" ht="16.5" customHeight="1">
      <c r="F763" s="1"/>
    </row>
    <row r="764" ht="16.5" customHeight="1">
      <c r="F764" s="1"/>
    </row>
    <row r="765" ht="16.5" customHeight="1">
      <c r="F765" s="1"/>
    </row>
    <row r="766" ht="16.5" customHeight="1">
      <c r="F766" s="1"/>
    </row>
    <row r="767" ht="16.5" customHeight="1">
      <c r="F767" s="1"/>
    </row>
    <row r="768" ht="16.5" customHeight="1">
      <c r="F768" s="1"/>
    </row>
    <row r="769" ht="16.5" customHeight="1">
      <c r="F769" s="1"/>
    </row>
    <row r="770" ht="16.5" customHeight="1">
      <c r="F770" s="1"/>
    </row>
    <row r="771" ht="16.5" customHeight="1">
      <c r="F771" s="1"/>
    </row>
    <row r="772" ht="16.5" customHeight="1">
      <c r="F772" s="1"/>
    </row>
    <row r="773" ht="16.5" customHeight="1">
      <c r="F773" s="1"/>
    </row>
    <row r="774" ht="16.5" customHeight="1">
      <c r="F774" s="1"/>
    </row>
    <row r="775" ht="16.5" customHeight="1">
      <c r="F775" s="1"/>
    </row>
    <row r="776" ht="16.5" customHeight="1">
      <c r="F776" s="1"/>
    </row>
    <row r="777" ht="16.5" customHeight="1">
      <c r="F777" s="1"/>
    </row>
    <row r="778" ht="16.5" customHeight="1">
      <c r="F778" s="1"/>
    </row>
    <row r="779" ht="16.5" customHeight="1">
      <c r="F779" s="1"/>
    </row>
    <row r="780" ht="16.5" customHeight="1">
      <c r="F780" s="1"/>
    </row>
    <row r="781" ht="16.5" customHeight="1">
      <c r="F781" s="1"/>
    </row>
    <row r="782" ht="16.5" customHeight="1">
      <c r="F782" s="1"/>
    </row>
    <row r="783" ht="16.5" customHeight="1">
      <c r="F783" s="1"/>
    </row>
    <row r="784" ht="16.5" customHeight="1">
      <c r="F784" s="1"/>
    </row>
    <row r="785" ht="16.5" customHeight="1">
      <c r="F785" s="1"/>
    </row>
    <row r="786" ht="16.5" customHeight="1">
      <c r="F786" s="1"/>
    </row>
    <row r="787" ht="16.5" customHeight="1">
      <c r="F787" s="1"/>
    </row>
    <row r="788" ht="16.5" customHeight="1">
      <c r="F788" s="1"/>
    </row>
    <row r="789" ht="16.5" customHeight="1">
      <c r="F789" s="1"/>
    </row>
    <row r="790" ht="16.5" customHeight="1">
      <c r="F790" s="1"/>
    </row>
    <row r="791" ht="16.5" customHeight="1">
      <c r="F791" s="1"/>
    </row>
    <row r="792" ht="16.5" customHeight="1">
      <c r="F792" s="1"/>
    </row>
    <row r="793" ht="16.5" customHeight="1">
      <c r="F793" s="1"/>
    </row>
    <row r="794" ht="16.5" customHeight="1">
      <c r="F794" s="1"/>
    </row>
    <row r="795" ht="16.5" customHeight="1">
      <c r="F795" s="1"/>
    </row>
    <row r="796" ht="16.5" customHeight="1">
      <c r="F796" s="1"/>
    </row>
    <row r="797" ht="16.5" customHeight="1">
      <c r="F797" s="1"/>
    </row>
    <row r="798" ht="16.5" customHeight="1">
      <c r="F798" s="1"/>
    </row>
    <row r="799" ht="16.5" customHeight="1">
      <c r="F799" s="1"/>
    </row>
    <row r="800" ht="16.5" customHeight="1">
      <c r="F800" s="1"/>
    </row>
    <row r="801" ht="16.5" customHeight="1">
      <c r="F801" s="1"/>
    </row>
    <row r="802" ht="16.5" customHeight="1">
      <c r="F802" s="1"/>
    </row>
    <row r="803" ht="16.5" customHeight="1">
      <c r="F803" s="1"/>
    </row>
    <row r="804" ht="16.5" customHeight="1">
      <c r="F804" s="1"/>
    </row>
    <row r="805" ht="16.5" customHeight="1">
      <c r="F805" s="1"/>
    </row>
    <row r="806" ht="16.5" customHeight="1">
      <c r="F806" s="1"/>
    </row>
    <row r="807" ht="16.5" customHeight="1">
      <c r="F807" s="1"/>
    </row>
    <row r="808" ht="16.5" customHeight="1">
      <c r="F808" s="1"/>
    </row>
    <row r="809" ht="16.5" customHeight="1">
      <c r="F809" s="1"/>
    </row>
    <row r="810" ht="16.5" customHeight="1">
      <c r="F810" s="1"/>
    </row>
    <row r="811" ht="16.5" customHeight="1">
      <c r="F811" s="1"/>
    </row>
    <row r="812" ht="16.5" customHeight="1">
      <c r="F812" s="1"/>
    </row>
    <row r="813" ht="16.5" customHeight="1">
      <c r="F813" s="1"/>
    </row>
    <row r="814" ht="16.5" customHeight="1">
      <c r="F814" s="1"/>
    </row>
    <row r="815" ht="16.5" customHeight="1">
      <c r="F815" s="1"/>
    </row>
    <row r="816" ht="16.5" customHeight="1">
      <c r="F816" s="1"/>
    </row>
    <row r="817" ht="16.5" customHeight="1">
      <c r="F817" s="1"/>
    </row>
    <row r="818" ht="16.5" customHeight="1">
      <c r="F818" s="1"/>
    </row>
    <row r="819" ht="16.5" customHeight="1">
      <c r="F819" s="1"/>
    </row>
    <row r="820" ht="16.5" customHeight="1">
      <c r="F820" s="1"/>
    </row>
    <row r="821" ht="16.5" customHeight="1">
      <c r="F821" s="1"/>
    </row>
    <row r="822" ht="16.5" customHeight="1">
      <c r="F822" s="1"/>
    </row>
    <row r="823" ht="16.5" customHeight="1">
      <c r="F823" s="1"/>
    </row>
    <row r="824" ht="16.5" customHeight="1">
      <c r="F824" s="1"/>
    </row>
    <row r="825" ht="16.5" customHeight="1">
      <c r="F825" s="1"/>
    </row>
    <row r="826" ht="16.5" customHeight="1">
      <c r="F826" s="1"/>
    </row>
    <row r="827" ht="16.5" customHeight="1">
      <c r="F827" s="1"/>
    </row>
    <row r="828" ht="16.5" customHeight="1">
      <c r="F828" s="1"/>
    </row>
    <row r="829" ht="16.5" customHeight="1">
      <c r="F829" s="1"/>
    </row>
    <row r="830" ht="16.5" customHeight="1">
      <c r="F830" s="1"/>
    </row>
    <row r="831" ht="16.5" customHeight="1">
      <c r="F831" s="1"/>
    </row>
    <row r="832" ht="16.5" customHeight="1">
      <c r="F832" s="1"/>
    </row>
    <row r="833" ht="16.5" customHeight="1">
      <c r="F833" s="1"/>
    </row>
    <row r="834" ht="16.5" customHeight="1">
      <c r="F834" s="1"/>
    </row>
    <row r="835" ht="16.5" customHeight="1">
      <c r="F835" s="1"/>
    </row>
    <row r="836" ht="16.5" customHeight="1">
      <c r="F836" s="1"/>
    </row>
    <row r="837" ht="16.5" customHeight="1">
      <c r="F837" s="1"/>
    </row>
    <row r="838" ht="16.5" customHeight="1">
      <c r="F838" s="1"/>
    </row>
    <row r="839" ht="16.5" customHeight="1">
      <c r="F839" s="1"/>
    </row>
    <row r="840" ht="16.5" customHeight="1">
      <c r="F840" s="1"/>
    </row>
    <row r="841" ht="16.5" customHeight="1">
      <c r="F841" s="1"/>
    </row>
    <row r="842" ht="16.5" customHeight="1">
      <c r="F842" s="1"/>
    </row>
    <row r="843" ht="16.5" customHeight="1">
      <c r="F843" s="1"/>
    </row>
    <row r="844" ht="16.5" customHeight="1">
      <c r="F844" s="1"/>
    </row>
    <row r="845" ht="16.5" customHeight="1">
      <c r="F845" s="1"/>
    </row>
    <row r="846" ht="16.5" customHeight="1">
      <c r="F846" s="1"/>
    </row>
    <row r="847" ht="16.5" customHeight="1">
      <c r="F847" s="1"/>
    </row>
    <row r="848" ht="16.5" customHeight="1">
      <c r="F848" s="1"/>
    </row>
    <row r="849" ht="16.5" customHeight="1">
      <c r="F849" s="1"/>
    </row>
    <row r="850" ht="16.5" customHeight="1">
      <c r="F850" s="1"/>
    </row>
    <row r="851" ht="16.5" customHeight="1">
      <c r="F851" s="1"/>
    </row>
    <row r="852" ht="16.5" customHeight="1">
      <c r="F852" s="1"/>
    </row>
    <row r="853" ht="16.5" customHeight="1">
      <c r="F853" s="1"/>
    </row>
    <row r="854" ht="16.5" customHeight="1">
      <c r="F854" s="1"/>
    </row>
    <row r="855" ht="16.5" customHeight="1">
      <c r="F855" s="1"/>
    </row>
    <row r="856" ht="16.5" customHeight="1">
      <c r="F856" s="1"/>
    </row>
    <row r="857" ht="16.5" customHeight="1">
      <c r="F857" s="1"/>
    </row>
    <row r="858" ht="16.5" customHeight="1">
      <c r="F858" s="1"/>
    </row>
    <row r="859" ht="16.5" customHeight="1">
      <c r="F859" s="1"/>
    </row>
    <row r="860" ht="16.5" customHeight="1">
      <c r="F860" s="1"/>
    </row>
    <row r="861" ht="16.5" customHeight="1">
      <c r="F861" s="1"/>
    </row>
    <row r="862" ht="16.5" customHeight="1">
      <c r="F862" s="1"/>
    </row>
    <row r="863" ht="16.5" customHeight="1">
      <c r="F863" s="1"/>
    </row>
    <row r="864" ht="16.5" customHeight="1">
      <c r="F864" s="1"/>
    </row>
    <row r="865" ht="16.5" customHeight="1">
      <c r="F865" s="1"/>
    </row>
    <row r="866" ht="16.5" customHeight="1">
      <c r="F866" s="1"/>
    </row>
    <row r="867" ht="16.5" customHeight="1">
      <c r="F867" s="1"/>
    </row>
    <row r="868" ht="16.5" customHeight="1">
      <c r="F868" s="1"/>
    </row>
    <row r="869" ht="16.5" customHeight="1">
      <c r="F869" s="1"/>
    </row>
    <row r="870" ht="16.5" customHeight="1">
      <c r="F870" s="1"/>
    </row>
    <row r="871" ht="16.5" customHeight="1">
      <c r="F871" s="1"/>
    </row>
    <row r="872" ht="16.5" customHeight="1">
      <c r="F872" s="1"/>
    </row>
    <row r="873" ht="16.5" customHeight="1">
      <c r="F873" s="1"/>
    </row>
    <row r="874" ht="16.5" customHeight="1">
      <c r="F874" s="1"/>
    </row>
    <row r="875" ht="16.5" customHeight="1">
      <c r="F875" s="1"/>
    </row>
    <row r="876" ht="16.5" customHeight="1">
      <c r="F876" s="1"/>
    </row>
    <row r="877" ht="16.5" customHeight="1">
      <c r="F877" s="1"/>
    </row>
    <row r="878" ht="16.5" customHeight="1">
      <c r="F878" s="1"/>
    </row>
    <row r="879" ht="16.5" customHeight="1">
      <c r="F879" s="1"/>
    </row>
    <row r="880" ht="16.5" customHeight="1">
      <c r="F880" s="1"/>
    </row>
    <row r="881" ht="16.5" customHeight="1">
      <c r="F881" s="1"/>
    </row>
    <row r="882" ht="16.5" customHeight="1">
      <c r="F882" s="1"/>
    </row>
    <row r="883" ht="16.5" customHeight="1">
      <c r="F883" s="1"/>
    </row>
    <row r="884" ht="16.5" customHeight="1">
      <c r="F884" s="1"/>
    </row>
    <row r="885" ht="16.5" customHeight="1">
      <c r="F885" s="1"/>
    </row>
    <row r="886" ht="16.5" customHeight="1">
      <c r="F886" s="1"/>
    </row>
    <row r="887" ht="16.5" customHeight="1">
      <c r="F887" s="1"/>
    </row>
    <row r="888" ht="16.5" customHeight="1">
      <c r="F888" s="1"/>
    </row>
    <row r="889" ht="16.5" customHeight="1">
      <c r="F889" s="1"/>
    </row>
    <row r="890" ht="16.5" customHeight="1">
      <c r="F890" s="1"/>
    </row>
    <row r="891" ht="16.5" customHeight="1">
      <c r="F891" s="1"/>
    </row>
    <row r="892" ht="16.5" customHeight="1">
      <c r="F892" s="1"/>
    </row>
    <row r="893" ht="16.5" customHeight="1">
      <c r="F893" s="1"/>
    </row>
    <row r="894" ht="16.5" customHeight="1">
      <c r="F894" s="1"/>
    </row>
    <row r="895" ht="16.5" customHeight="1">
      <c r="F895" s="1"/>
    </row>
    <row r="896" ht="16.5" customHeight="1">
      <c r="F896" s="1"/>
    </row>
    <row r="897" ht="16.5" customHeight="1">
      <c r="F897" s="1"/>
    </row>
    <row r="898" ht="16.5" customHeight="1">
      <c r="F898" s="1"/>
    </row>
    <row r="899" ht="16.5" customHeight="1">
      <c r="F899" s="1"/>
    </row>
    <row r="900" ht="16.5" customHeight="1">
      <c r="F900" s="1"/>
    </row>
    <row r="901" ht="16.5" customHeight="1">
      <c r="F901" s="1"/>
    </row>
    <row r="902" ht="16.5" customHeight="1">
      <c r="F902" s="1"/>
    </row>
    <row r="903" ht="16.5" customHeight="1">
      <c r="F903" s="1"/>
    </row>
    <row r="904" ht="16.5" customHeight="1">
      <c r="F904" s="1"/>
    </row>
    <row r="905" ht="16.5" customHeight="1">
      <c r="F905" s="1"/>
    </row>
    <row r="906" ht="16.5" customHeight="1">
      <c r="F906" s="1"/>
    </row>
    <row r="907" ht="16.5" customHeight="1">
      <c r="F907" s="1"/>
    </row>
    <row r="908" ht="16.5" customHeight="1">
      <c r="F908" s="1"/>
    </row>
    <row r="909" ht="16.5" customHeight="1">
      <c r="F909" s="1"/>
    </row>
    <row r="910" ht="16.5" customHeight="1">
      <c r="F910" s="1"/>
    </row>
    <row r="911" ht="16.5" customHeight="1">
      <c r="F911" s="1"/>
    </row>
    <row r="912" ht="16.5" customHeight="1">
      <c r="F912" s="1"/>
    </row>
    <row r="913" ht="16.5" customHeight="1">
      <c r="F913" s="1"/>
    </row>
    <row r="914" ht="16.5" customHeight="1">
      <c r="F914" s="1"/>
    </row>
    <row r="915" ht="16.5" customHeight="1">
      <c r="F915" s="1"/>
    </row>
    <row r="916" ht="16.5" customHeight="1">
      <c r="F916" s="1"/>
    </row>
    <row r="917" ht="16.5" customHeight="1">
      <c r="F917" s="1"/>
    </row>
    <row r="918" ht="16.5" customHeight="1">
      <c r="F918" s="1"/>
    </row>
    <row r="919" ht="16.5" customHeight="1">
      <c r="F919" s="1"/>
    </row>
    <row r="920" ht="16.5" customHeight="1">
      <c r="F920" s="1"/>
    </row>
    <row r="921" ht="16.5" customHeight="1">
      <c r="F921" s="1"/>
    </row>
    <row r="922" ht="16.5" customHeight="1">
      <c r="F922" s="1"/>
    </row>
    <row r="923" ht="16.5" customHeight="1">
      <c r="F923" s="1"/>
    </row>
    <row r="924" ht="16.5" customHeight="1">
      <c r="F924" s="1"/>
    </row>
    <row r="925" ht="16.5" customHeight="1">
      <c r="F925" s="1"/>
    </row>
    <row r="926" ht="16.5" customHeight="1">
      <c r="F926" s="1"/>
    </row>
    <row r="927" ht="16.5" customHeight="1">
      <c r="F927" s="1"/>
    </row>
    <row r="928" ht="16.5" customHeight="1">
      <c r="F928" s="1"/>
    </row>
    <row r="929" ht="16.5" customHeight="1">
      <c r="F929" s="1"/>
    </row>
    <row r="930" ht="16.5" customHeight="1">
      <c r="F930" s="1"/>
    </row>
    <row r="931" ht="16.5" customHeight="1">
      <c r="F931" s="1"/>
    </row>
    <row r="932" ht="16.5" customHeight="1">
      <c r="F932" s="1"/>
    </row>
    <row r="933" ht="16.5" customHeight="1">
      <c r="F933" s="1"/>
    </row>
    <row r="934" ht="16.5" customHeight="1">
      <c r="F934" s="1"/>
    </row>
    <row r="935" ht="16.5" customHeight="1">
      <c r="F935" s="1"/>
    </row>
    <row r="936" ht="16.5" customHeight="1">
      <c r="F936" s="1"/>
    </row>
    <row r="937" ht="16.5" customHeight="1">
      <c r="F937" s="1"/>
    </row>
    <row r="938" ht="16.5" customHeight="1">
      <c r="F938" s="1"/>
    </row>
    <row r="939" ht="16.5" customHeight="1">
      <c r="F939" s="1"/>
    </row>
    <row r="940" ht="16.5" customHeight="1">
      <c r="F940" s="1"/>
    </row>
    <row r="941" ht="16.5" customHeight="1">
      <c r="F941" s="1"/>
    </row>
    <row r="942" ht="16.5" customHeight="1">
      <c r="F942" s="1"/>
    </row>
    <row r="943" ht="16.5" customHeight="1">
      <c r="F943" s="1"/>
    </row>
    <row r="944" ht="16.5" customHeight="1">
      <c r="F944" s="1"/>
    </row>
    <row r="945" ht="16.5" customHeight="1">
      <c r="F945" s="1"/>
    </row>
    <row r="946" ht="16.5" customHeight="1">
      <c r="F946" s="1"/>
    </row>
    <row r="947" ht="16.5" customHeight="1">
      <c r="F947" s="1"/>
    </row>
    <row r="948" ht="16.5" customHeight="1">
      <c r="F948" s="1"/>
    </row>
    <row r="949" ht="16.5" customHeight="1">
      <c r="F949" s="1"/>
    </row>
    <row r="950" ht="16.5" customHeight="1">
      <c r="F950" s="1"/>
    </row>
    <row r="951" ht="16.5" customHeight="1">
      <c r="F951" s="1"/>
    </row>
    <row r="952" ht="16.5" customHeight="1">
      <c r="F952" s="1"/>
    </row>
    <row r="953" ht="16.5" customHeight="1">
      <c r="F953" s="1"/>
    </row>
    <row r="954" ht="16.5" customHeight="1">
      <c r="F954" s="1"/>
    </row>
    <row r="955" ht="16.5" customHeight="1">
      <c r="F955" s="1"/>
    </row>
    <row r="956" ht="16.5" customHeight="1">
      <c r="F956" s="1"/>
    </row>
    <row r="957" ht="16.5" customHeight="1">
      <c r="F957" s="1"/>
    </row>
    <row r="958" ht="16.5" customHeight="1">
      <c r="F958" s="1"/>
    </row>
    <row r="959" ht="16.5" customHeight="1">
      <c r="F959" s="1"/>
    </row>
    <row r="960" ht="16.5" customHeight="1">
      <c r="F960" s="1"/>
    </row>
    <row r="961" ht="16.5" customHeight="1">
      <c r="F961" s="1"/>
    </row>
    <row r="962" ht="16.5" customHeight="1">
      <c r="F962" s="1"/>
    </row>
    <row r="963" ht="16.5" customHeight="1">
      <c r="F963" s="1"/>
    </row>
    <row r="964" ht="16.5" customHeight="1">
      <c r="F964" s="1"/>
    </row>
    <row r="965" ht="16.5" customHeight="1">
      <c r="F965" s="1"/>
    </row>
    <row r="966" ht="16.5" customHeight="1">
      <c r="F966" s="1"/>
    </row>
    <row r="967" ht="16.5" customHeight="1">
      <c r="F967" s="1"/>
    </row>
    <row r="968" ht="16.5" customHeight="1">
      <c r="F968" s="1"/>
    </row>
    <row r="969" ht="16.5" customHeight="1">
      <c r="F969" s="1"/>
    </row>
    <row r="970" ht="16.5" customHeight="1">
      <c r="F970" s="1"/>
    </row>
    <row r="971" ht="16.5" customHeight="1">
      <c r="F971" s="1"/>
    </row>
    <row r="972" ht="16.5" customHeight="1">
      <c r="F972" s="1"/>
    </row>
    <row r="973" ht="16.5" customHeight="1">
      <c r="F973" s="1"/>
    </row>
    <row r="974" ht="16.5" customHeight="1">
      <c r="F974" s="1"/>
    </row>
    <row r="975" ht="16.5" customHeight="1">
      <c r="F975" s="1"/>
    </row>
    <row r="976" ht="16.5" customHeight="1">
      <c r="F976" s="1"/>
    </row>
    <row r="977" ht="16.5" customHeight="1">
      <c r="F977" s="1"/>
    </row>
    <row r="978" ht="16.5" customHeight="1">
      <c r="F978" s="1"/>
    </row>
    <row r="979" ht="16.5" customHeight="1">
      <c r="F979" s="1"/>
    </row>
    <row r="980" ht="16.5" customHeight="1">
      <c r="F980" s="1"/>
    </row>
    <row r="981" ht="16.5" customHeight="1">
      <c r="F981" s="1"/>
    </row>
    <row r="982" ht="16.5" customHeight="1">
      <c r="F982" s="1"/>
    </row>
    <row r="983" ht="16.5" customHeight="1">
      <c r="F983" s="1"/>
    </row>
    <row r="984" ht="16.5" customHeight="1">
      <c r="F984" s="1"/>
    </row>
    <row r="985" ht="16.5" customHeight="1">
      <c r="F985" s="1"/>
    </row>
    <row r="986" ht="16.5" customHeight="1">
      <c r="F986" s="1"/>
    </row>
    <row r="987" ht="16.5" customHeight="1">
      <c r="F987" s="1"/>
    </row>
    <row r="988" ht="16.5" customHeight="1">
      <c r="F988" s="1"/>
    </row>
    <row r="989" ht="16.5" customHeight="1">
      <c r="F989" s="1"/>
    </row>
    <row r="990" ht="16.5" customHeight="1">
      <c r="F990" s="1"/>
    </row>
    <row r="991" ht="16.5" customHeight="1">
      <c r="F991" s="1"/>
    </row>
    <row r="992" ht="16.5" customHeight="1">
      <c r="F992" s="1"/>
    </row>
    <row r="993" ht="16.5" customHeight="1">
      <c r="F993" s="1"/>
    </row>
    <row r="994" ht="16.5" customHeight="1">
      <c r="F994" s="1"/>
    </row>
    <row r="995" ht="16.5" customHeight="1">
      <c r="F995" s="1"/>
    </row>
    <row r="996" ht="16.5" customHeight="1">
      <c r="F996" s="1"/>
    </row>
    <row r="997" ht="16.5" customHeight="1">
      <c r="F997" s="1"/>
    </row>
    <row r="998" ht="16.5" customHeight="1">
      <c r="F998" s="1"/>
    </row>
    <row r="999" ht="16.5" customHeight="1">
      <c r="F999" s="1"/>
    </row>
    <row r="1000" ht="16.5" customHeight="1">
      <c r="F1000" s="1"/>
    </row>
  </sheetData>
  <mergeCells count="49">
    <mergeCell ref="B58:C59"/>
    <mergeCell ref="D59:E59"/>
    <mergeCell ref="C49:C52"/>
    <mergeCell ref="D49:D52"/>
    <mergeCell ref="E49:E52"/>
    <mergeCell ref="C53:C56"/>
    <mergeCell ref="D53:D56"/>
    <mergeCell ref="E53:E56"/>
    <mergeCell ref="B57:C57"/>
    <mergeCell ref="D13:D16"/>
    <mergeCell ref="E13:E16"/>
    <mergeCell ref="D18:D21"/>
    <mergeCell ref="E18:E21"/>
    <mergeCell ref="D22:D25"/>
    <mergeCell ref="E22:E25"/>
    <mergeCell ref="D27:D30"/>
    <mergeCell ref="E27:E30"/>
    <mergeCell ref="B2:G2"/>
    <mergeCell ref="C4:E4"/>
    <mergeCell ref="C5:E5"/>
    <mergeCell ref="B6:G6"/>
    <mergeCell ref="B9:B16"/>
    <mergeCell ref="D9:D12"/>
    <mergeCell ref="E9:E12"/>
    <mergeCell ref="B17:C17"/>
    <mergeCell ref="C27:C30"/>
    <mergeCell ref="C31:C34"/>
    <mergeCell ref="D31:D34"/>
    <mergeCell ref="E31:E34"/>
    <mergeCell ref="D35:D38"/>
    <mergeCell ref="E35:E38"/>
    <mergeCell ref="C9:C12"/>
    <mergeCell ref="C13:C16"/>
    <mergeCell ref="B18:B25"/>
    <mergeCell ref="C18:C21"/>
    <mergeCell ref="C22:C25"/>
    <mergeCell ref="B26:C26"/>
    <mergeCell ref="B27:B38"/>
    <mergeCell ref="D44:D47"/>
    <mergeCell ref="E44:E47"/>
    <mergeCell ref="B40:B47"/>
    <mergeCell ref="B49:B56"/>
    <mergeCell ref="C35:C38"/>
    <mergeCell ref="B39:C39"/>
    <mergeCell ref="C40:C43"/>
    <mergeCell ref="D40:D43"/>
    <mergeCell ref="E40:E43"/>
    <mergeCell ref="C44:C47"/>
    <mergeCell ref="B48:C48"/>
  </mergeCells>
  <dataValidations>
    <dataValidation type="decimal" allowBlank="1" showErrorMessage="1" sqref="D9 D13 D18 D22">
      <formula1>1.0</formula1>
      <formula2>4.0</formula2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71"/>
    <col customWidth="1" min="3" max="3" width="80.29"/>
    <col customWidth="1" min="4" max="5" width="12.71"/>
    <col customWidth="1" min="6" max="6" width="11.71"/>
    <col customWidth="1" min="7" max="7" width="81.86"/>
    <col customWidth="1" min="8" max="26" width="8.71"/>
  </cols>
  <sheetData>
    <row r="1" ht="16.5" customHeight="1">
      <c r="F1" s="1"/>
    </row>
    <row r="2" ht="77.25" customHeight="1">
      <c r="B2" s="2" t="s">
        <v>1</v>
      </c>
      <c r="C2" s="3"/>
      <c r="D2" s="3"/>
      <c r="E2" s="3"/>
      <c r="F2" s="3"/>
      <c r="G2" s="4"/>
    </row>
    <row r="3" ht="16.5" customHeight="1">
      <c r="F3" s="1"/>
    </row>
    <row r="4" ht="16.5" customHeight="1">
      <c r="A4" s="5"/>
      <c r="B4" s="6" t="s">
        <v>2</v>
      </c>
      <c r="C4" s="7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/>
      <c r="B5" s="6" t="s">
        <v>3</v>
      </c>
      <c r="C5" s="7"/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3.25" customHeight="1">
      <c r="A6" s="5"/>
      <c r="B6" s="9" t="s">
        <v>4</v>
      </c>
      <c r="C6" s="10"/>
      <c r="D6" s="10"/>
      <c r="E6" s="10"/>
      <c r="F6" s="10"/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F7" s="1"/>
    </row>
    <row r="8" ht="16.5" customHeight="1">
      <c r="A8" s="5"/>
      <c r="B8" s="12" t="s">
        <v>5</v>
      </c>
      <c r="C8" s="13" t="s">
        <v>6</v>
      </c>
      <c r="D8" s="13" t="s">
        <v>7</v>
      </c>
      <c r="E8" s="13" t="s">
        <v>8</v>
      </c>
      <c r="F8" s="14" t="s">
        <v>9</v>
      </c>
      <c r="G8" s="15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B9" s="16" t="s">
        <v>11</v>
      </c>
      <c r="C9" s="17" t="s">
        <v>12</v>
      </c>
      <c r="D9" s="18"/>
      <c r="E9" s="19" t="s">
        <v>13</v>
      </c>
      <c r="F9" s="20" t="s">
        <v>14</v>
      </c>
      <c r="G9" s="21" t="s">
        <v>15</v>
      </c>
    </row>
    <row r="10" ht="16.5" customHeight="1">
      <c r="B10" s="22"/>
      <c r="C10" s="23"/>
      <c r="D10" s="23"/>
      <c r="E10" s="23"/>
      <c r="F10" s="20" t="s">
        <v>16</v>
      </c>
      <c r="G10" s="21" t="s">
        <v>17</v>
      </c>
    </row>
    <row r="11" ht="16.5" customHeight="1">
      <c r="B11" s="22"/>
      <c r="C11" s="23"/>
      <c r="D11" s="23"/>
      <c r="E11" s="23"/>
      <c r="F11" s="20" t="s">
        <v>18</v>
      </c>
      <c r="G11" s="21" t="s">
        <v>19</v>
      </c>
    </row>
    <row r="12" ht="16.5" customHeight="1">
      <c r="B12" s="22"/>
      <c r="C12" s="24"/>
      <c r="D12" s="24"/>
      <c r="E12" s="24"/>
      <c r="F12" s="20" t="s">
        <v>20</v>
      </c>
      <c r="G12" s="21" t="s">
        <v>21</v>
      </c>
    </row>
    <row r="13" ht="16.5" customHeight="1">
      <c r="B13" s="22"/>
      <c r="C13" s="17" t="s">
        <v>22</v>
      </c>
      <c r="D13" s="18"/>
      <c r="E13" s="19" t="s">
        <v>13</v>
      </c>
      <c r="F13" s="20" t="s">
        <v>14</v>
      </c>
      <c r="G13" s="21" t="s">
        <v>23</v>
      </c>
    </row>
    <row r="14" ht="16.5" customHeight="1">
      <c r="B14" s="22"/>
      <c r="C14" s="23"/>
      <c r="D14" s="23"/>
      <c r="E14" s="23"/>
      <c r="F14" s="25" t="s">
        <v>16</v>
      </c>
      <c r="G14" s="21" t="s">
        <v>24</v>
      </c>
    </row>
    <row r="15" ht="16.5" customHeight="1">
      <c r="B15" s="22"/>
      <c r="C15" s="23"/>
      <c r="D15" s="23"/>
      <c r="E15" s="23"/>
      <c r="F15" s="25" t="s">
        <v>18</v>
      </c>
      <c r="G15" s="21" t="s">
        <v>25</v>
      </c>
    </row>
    <row r="16" ht="16.5" customHeight="1">
      <c r="B16" s="26"/>
      <c r="C16" s="24"/>
      <c r="D16" s="24"/>
      <c r="E16" s="24"/>
      <c r="F16" s="25" t="s">
        <v>20</v>
      </c>
      <c r="G16" s="21" t="s">
        <v>26</v>
      </c>
    </row>
    <row r="17" ht="16.5" customHeight="1">
      <c r="B17" s="27" t="s">
        <v>27</v>
      </c>
      <c r="C17" s="28"/>
      <c r="D17" s="29" t="str">
        <f>IFERROR((AVERAGE(D9:D16))*0.75,"미입력")</f>
        <v>미입력</v>
      </c>
      <c r="E17" s="30" t="s">
        <v>28</v>
      </c>
      <c r="F17" s="31"/>
      <c r="G17" s="32"/>
    </row>
    <row r="18" ht="66.0" customHeight="1">
      <c r="B18" s="16" t="s">
        <v>29</v>
      </c>
      <c r="C18" s="17" t="s">
        <v>30</v>
      </c>
      <c r="D18" s="18"/>
      <c r="E18" s="19" t="s">
        <v>13</v>
      </c>
      <c r="F18" s="20" t="s">
        <v>14</v>
      </c>
      <c r="G18" s="21" t="s">
        <v>31</v>
      </c>
    </row>
    <row r="19" ht="16.5" customHeight="1">
      <c r="B19" s="22"/>
      <c r="C19" s="23"/>
      <c r="D19" s="23"/>
      <c r="E19" s="23"/>
      <c r="F19" s="20" t="s">
        <v>16</v>
      </c>
      <c r="G19" s="33" t="s">
        <v>32</v>
      </c>
    </row>
    <row r="20" ht="16.5" customHeight="1">
      <c r="B20" s="22"/>
      <c r="C20" s="23"/>
      <c r="D20" s="23"/>
      <c r="E20" s="23"/>
      <c r="F20" s="20" t="s">
        <v>18</v>
      </c>
      <c r="G20" s="21" t="s">
        <v>33</v>
      </c>
    </row>
    <row r="21" ht="16.5" customHeight="1">
      <c r="B21" s="22"/>
      <c r="C21" s="24"/>
      <c r="D21" s="24"/>
      <c r="E21" s="24"/>
      <c r="F21" s="20" t="s">
        <v>20</v>
      </c>
      <c r="G21" s="21" t="s">
        <v>34</v>
      </c>
    </row>
    <row r="22" ht="16.5" customHeight="1">
      <c r="B22" s="22"/>
      <c r="C22" s="17" t="s">
        <v>35</v>
      </c>
      <c r="D22" s="18"/>
      <c r="E22" s="19" t="s">
        <v>13</v>
      </c>
      <c r="F22" s="20" t="s">
        <v>14</v>
      </c>
      <c r="G22" s="21" t="s">
        <v>36</v>
      </c>
    </row>
    <row r="23" ht="16.5" customHeight="1">
      <c r="B23" s="22"/>
      <c r="C23" s="23"/>
      <c r="D23" s="23"/>
      <c r="E23" s="23"/>
      <c r="F23" s="20" t="s">
        <v>16</v>
      </c>
      <c r="G23" s="33" t="s">
        <v>32</v>
      </c>
    </row>
    <row r="24" ht="16.5" customHeight="1">
      <c r="B24" s="22"/>
      <c r="C24" s="23"/>
      <c r="D24" s="23"/>
      <c r="E24" s="23"/>
      <c r="F24" s="20" t="s">
        <v>18</v>
      </c>
      <c r="G24" s="21" t="s">
        <v>33</v>
      </c>
    </row>
    <row r="25" ht="16.5" customHeight="1">
      <c r="B25" s="26"/>
      <c r="C25" s="24"/>
      <c r="D25" s="24"/>
      <c r="E25" s="24"/>
      <c r="F25" s="20" t="s">
        <v>20</v>
      </c>
      <c r="G25" s="21" t="s">
        <v>34</v>
      </c>
    </row>
    <row r="26" ht="16.5" customHeight="1">
      <c r="B26" s="27" t="s">
        <v>37</v>
      </c>
      <c r="C26" s="28"/>
      <c r="D26" s="29" t="str">
        <f>IFERROR((AVERAGE(D18:D25))*0.75,"미입력")</f>
        <v>미입력</v>
      </c>
      <c r="E26" s="30" t="s">
        <v>28</v>
      </c>
      <c r="F26" s="31"/>
      <c r="G26" s="32"/>
    </row>
    <row r="27" ht="16.5" customHeight="1">
      <c r="B27" s="16" t="s">
        <v>38</v>
      </c>
      <c r="C27" s="17" t="s">
        <v>39</v>
      </c>
      <c r="D27" s="18"/>
      <c r="E27" s="19" t="s">
        <v>13</v>
      </c>
      <c r="F27" s="20" t="s">
        <v>14</v>
      </c>
      <c r="G27" s="21" t="s">
        <v>40</v>
      </c>
    </row>
    <row r="28" ht="16.5" customHeight="1">
      <c r="B28" s="22"/>
      <c r="C28" s="23"/>
      <c r="D28" s="23"/>
      <c r="E28" s="23"/>
      <c r="F28" s="20" t="s">
        <v>16</v>
      </c>
      <c r="G28" s="21" t="s">
        <v>41</v>
      </c>
    </row>
    <row r="29" ht="16.5" customHeight="1">
      <c r="B29" s="22"/>
      <c r="C29" s="23"/>
      <c r="D29" s="23"/>
      <c r="E29" s="23"/>
      <c r="F29" s="20" t="s">
        <v>18</v>
      </c>
      <c r="G29" s="21" t="s">
        <v>42</v>
      </c>
    </row>
    <row r="30" ht="16.5" customHeight="1">
      <c r="B30" s="22"/>
      <c r="C30" s="24"/>
      <c r="D30" s="24"/>
      <c r="E30" s="24"/>
      <c r="F30" s="20" t="s">
        <v>20</v>
      </c>
      <c r="G30" s="21" t="s">
        <v>43</v>
      </c>
    </row>
    <row r="31" ht="16.5" customHeight="1">
      <c r="B31" s="22"/>
      <c r="C31" s="17" t="s">
        <v>44</v>
      </c>
      <c r="D31" s="18"/>
      <c r="E31" s="19" t="s">
        <v>13</v>
      </c>
      <c r="F31" s="20" t="s">
        <v>14</v>
      </c>
      <c r="G31" s="21" t="s">
        <v>45</v>
      </c>
    </row>
    <row r="32" ht="16.5" customHeight="1">
      <c r="B32" s="22"/>
      <c r="C32" s="23"/>
      <c r="D32" s="23"/>
      <c r="E32" s="23"/>
      <c r="F32" s="20" t="s">
        <v>16</v>
      </c>
      <c r="G32" s="21" t="s">
        <v>46</v>
      </c>
    </row>
    <row r="33" ht="16.5" customHeight="1">
      <c r="B33" s="22"/>
      <c r="C33" s="23"/>
      <c r="D33" s="23"/>
      <c r="E33" s="23"/>
      <c r="F33" s="20" t="s">
        <v>18</v>
      </c>
      <c r="G33" s="21" t="s">
        <v>47</v>
      </c>
    </row>
    <row r="34" ht="16.5" customHeight="1">
      <c r="B34" s="22"/>
      <c r="C34" s="24"/>
      <c r="D34" s="24"/>
      <c r="E34" s="24"/>
      <c r="F34" s="20" t="s">
        <v>20</v>
      </c>
      <c r="G34" s="21" t="s">
        <v>48</v>
      </c>
    </row>
    <row r="35" ht="16.5" customHeight="1">
      <c r="B35" s="22"/>
      <c r="C35" s="17" t="s">
        <v>49</v>
      </c>
      <c r="D35" s="18"/>
      <c r="E35" s="19" t="s">
        <v>13</v>
      </c>
      <c r="F35" s="20" t="s">
        <v>14</v>
      </c>
      <c r="G35" s="21" t="s">
        <v>50</v>
      </c>
    </row>
    <row r="36" ht="16.5" customHeight="1">
      <c r="B36" s="22"/>
      <c r="C36" s="23"/>
      <c r="D36" s="23"/>
      <c r="E36" s="23"/>
      <c r="F36" s="20" t="s">
        <v>16</v>
      </c>
      <c r="G36" s="21" t="s">
        <v>51</v>
      </c>
    </row>
    <row r="37" ht="16.5" customHeight="1">
      <c r="B37" s="22"/>
      <c r="C37" s="23"/>
      <c r="D37" s="23"/>
      <c r="E37" s="23"/>
      <c r="F37" s="20" t="s">
        <v>18</v>
      </c>
      <c r="G37" s="21" t="s">
        <v>52</v>
      </c>
    </row>
    <row r="38" ht="16.5" customHeight="1">
      <c r="B38" s="22"/>
      <c r="C38" s="24"/>
      <c r="D38" s="24"/>
      <c r="E38" s="24"/>
      <c r="F38" s="20" t="s">
        <v>20</v>
      </c>
      <c r="G38" s="21" t="s">
        <v>53</v>
      </c>
    </row>
    <row r="39" ht="16.5" customHeight="1">
      <c r="B39" s="27" t="s">
        <v>54</v>
      </c>
      <c r="C39" s="28"/>
      <c r="D39" s="29" t="str">
        <f>IFERROR(ROUND(AVERAGE(D27:D38),1),"미입력")</f>
        <v>미입력</v>
      </c>
      <c r="E39" s="30" t="s">
        <v>13</v>
      </c>
      <c r="F39" s="31"/>
      <c r="G39" s="32"/>
    </row>
    <row r="40" ht="16.5" customHeight="1">
      <c r="B40" s="16" t="s">
        <v>55</v>
      </c>
      <c r="C40" s="34" t="s">
        <v>56</v>
      </c>
      <c r="D40" s="18"/>
      <c r="E40" s="19" t="s">
        <v>13</v>
      </c>
      <c r="F40" s="20" t="s">
        <v>14</v>
      </c>
      <c r="G40" s="35" t="s">
        <v>57</v>
      </c>
    </row>
    <row r="41" ht="16.5" customHeight="1">
      <c r="B41" s="22"/>
      <c r="C41" s="23"/>
      <c r="D41" s="23"/>
      <c r="E41" s="23"/>
      <c r="F41" s="20" t="s">
        <v>16</v>
      </c>
      <c r="G41" s="21" t="s">
        <v>58</v>
      </c>
    </row>
    <row r="42" ht="16.5" customHeight="1">
      <c r="B42" s="22"/>
      <c r="C42" s="23"/>
      <c r="D42" s="23"/>
      <c r="E42" s="23"/>
      <c r="F42" s="20" t="s">
        <v>18</v>
      </c>
      <c r="G42" s="21" t="s">
        <v>59</v>
      </c>
    </row>
    <row r="43" ht="16.5" customHeight="1">
      <c r="B43" s="22"/>
      <c r="C43" s="24"/>
      <c r="D43" s="24"/>
      <c r="E43" s="24"/>
      <c r="F43" s="20" t="s">
        <v>20</v>
      </c>
      <c r="G43" s="21" t="s">
        <v>60</v>
      </c>
    </row>
    <row r="44" ht="16.5" customHeight="1">
      <c r="B44" s="22"/>
      <c r="C44" s="17" t="s">
        <v>61</v>
      </c>
      <c r="D44" s="18"/>
      <c r="E44" s="19" t="s">
        <v>13</v>
      </c>
      <c r="F44" s="20" t="s">
        <v>14</v>
      </c>
      <c r="G44" s="21" t="s">
        <v>62</v>
      </c>
    </row>
    <row r="45" ht="16.5" customHeight="1">
      <c r="B45" s="22"/>
      <c r="C45" s="23"/>
      <c r="D45" s="23"/>
      <c r="E45" s="23"/>
      <c r="F45" s="20" t="s">
        <v>16</v>
      </c>
      <c r="G45" s="21" t="s">
        <v>63</v>
      </c>
    </row>
    <row r="46" ht="16.5" customHeight="1">
      <c r="B46" s="22"/>
      <c r="C46" s="23"/>
      <c r="D46" s="23"/>
      <c r="E46" s="23"/>
      <c r="F46" s="20" t="s">
        <v>18</v>
      </c>
      <c r="G46" s="21" t="s">
        <v>64</v>
      </c>
    </row>
    <row r="47" ht="16.5" customHeight="1">
      <c r="B47" s="26"/>
      <c r="C47" s="24"/>
      <c r="D47" s="24"/>
      <c r="E47" s="24"/>
      <c r="F47" s="20" t="s">
        <v>20</v>
      </c>
      <c r="G47" s="21" t="s">
        <v>65</v>
      </c>
    </row>
    <row r="48" ht="16.5" customHeight="1">
      <c r="B48" s="27" t="s">
        <v>66</v>
      </c>
      <c r="C48" s="28"/>
      <c r="D48" s="29" t="str">
        <f>IFERROR((AVERAGE(D40:D47))*0.75,"미입력")</f>
        <v>미입력</v>
      </c>
      <c r="E48" s="30" t="s">
        <v>28</v>
      </c>
      <c r="F48" s="31"/>
      <c r="G48" s="32"/>
    </row>
    <row r="49" ht="57.0" customHeight="1">
      <c r="B49" s="16" t="s">
        <v>67</v>
      </c>
      <c r="C49" s="17" t="s">
        <v>68</v>
      </c>
      <c r="D49" s="18"/>
      <c r="E49" s="19" t="s">
        <v>13</v>
      </c>
      <c r="F49" s="20" t="s">
        <v>14</v>
      </c>
      <c r="G49" s="21" t="s">
        <v>69</v>
      </c>
    </row>
    <row r="50" ht="53.25" customHeight="1">
      <c r="B50" s="22"/>
      <c r="C50" s="23"/>
      <c r="D50" s="23"/>
      <c r="E50" s="23"/>
      <c r="F50" s="20" t="s">
        <v>16</v>
      </c>
      <c r="G50" s="21" t="s">
        <v>70</v>
      </c>
    </row>
    <row r="51" ht="89.25" customHeight="1">
      <c r="B51" s="22"/>
      <c r="C51" s="23"/>
      <c r="D51" s="23"/>
      <c r="E51" s="23"/>
      <c r="F51" s="20" t="s">
        <v>18</v>
      </c>
      <c r="G51" s="21" t="s">
        <v>71</v>
      </c>
    </row>
    <row r="52" ht="16.5" customHeight="1">
      <c r="B52" s="22"/>
      <c r="C52" s="24"/>
      <c r="D52" s="24"/>
      <c r="E52" s="24"/>
      <c r="F52" s="20" t="s">
        <v>20</v>
      </c>
      <c r="G52" s="21" t="s">
        <v>72</v>
      </c>
    </row>
    <row r="53" ht="16.5" customHeight="1">
      <c r="B53" s="22"/>
      <c r="C53" s="17" t="s">
        <v>73</v>
      </c>
      <c r="D53" s="18"/>
      <c r="E53" s="19" t="s">
        <v>13</v>
      </c>
      <c r="F53" s="20" t="s">
        <v>14</v>
      </c>
      <c r="G53" s="35" t="s">
        <v>74</v>
      </c>
    </row>
    <row r="54" ht="16.5" customHeight="1">
      <c r="B54" s="22"/>
      <c r="C54" s="23"/>
      <c r="D54" s="23"/>
      <c r="E54" s="23"/>
      <c r="F54" s="20" t="s">
        <v>16</v>
      </c>
      <c r="G54" s="21" t="s">
        <v>75</v>
      </c>
    </row>
    <row r="55" ht="16.5" customHeight="1">
      <c r="B55" s="22"/>
      <c r="C55" s="23"/>
      <c r="D55" s="23"/>
      <c r="E55" s="23"/>
      <c r="F55" s="20" t="s">
        <v>18</v>
      </c>
      <c r="G55" s="21" t="s">
        <v>76</v>
      </c>
    </row>
    <row r="56" ht="16.5" customHeight="1">
      <c r="B56" s="26"/>
      <c r="C56" s="24"/>
      <c r="D56" s="24"/>
      <c r="E56" s="24"/>
      <c r="F56" s="20" t="s">
        <v>20</v>
      </c>
      <c r="G56" s="21" t="s">
        <v>77</v>
      </c>
    </row>
    <row r="57" ht="16.5" customHeight="1">
      <c r="B57" s="27" t="s">
        <v>78</v>
      </c>
      <c r="C57" s="28"/>
      <c r="D57" s="29" t="str">
        <f>IFERROR((AVERAGE(D49:D56))*0.75,"미입력")</f>
        <v>미입력</v>
      </c>
      <c r="E57" s="30" t="s">
        <v>28</v>
      </c>
      <c r="F57" s="31"/>
      <c r="G57" s="32"/>
    </row>
    <row r="58" ht="16.5" customHeight="1">
      <c r="B58" s="16" t="s">
        <v>79</v>
      </c>
      <c r="C58" s="17" t="s">
        <v>80</v>
      </c>
      <c r="D58" s="18"/>
      <c r="E58" s="19" t="s">
        <v>13</v>
      </c>
      <c r="F58" s="20" t="s">
        <v>14</v>
      </c>
      <c r="G58" s="21" t="s">
        <v>81</v>
      </c>
    </row>
    <row r="59" ht="16.5" customHeight="1">
      <c r="B59" s="22"/>
      <c r="C59" s="23"/>
      <c r="D59" s="23"/>
      <c r="E59" s="23"/>
      <c r="F59" s="20" t="s">
        <v>16</v>
      </c>
      <c r="G59" s="21" t="s">
        <v>82</v>
      </c>
    </row>
    <row r="60" ht="16.5" customHeight="1">
      <c r="B60" s="22"/>
      <c r="C60" s="23"/>
      <c r="D60" s="23"/>
      <c r="E60" s="23"/>
      <c r="F60" s="20" t="s">
        <v>18</v>
      </c>
      <c r="G60" s="21" t="s">
        <v>83</v>
      </c>
    </row>
    <row r="61" ht="16.5" customHeight="1">
      <c r="B61" s="26"/>
      <c r="C61" s="24"/>
      <c r="D61" s="24"/>
      <c r="E61" s="24"/>
      <c r="F61" s="20" t="s">
        <v>20</v>
      </c>
      <c r="G61" s="21" t="s">
        <v>84</v>
      </c>
    </row>
    <row r="62" ht="16.5" customHeight="1">
      <c r="B62" s="27" t="s">
        <v>85</v>
      </c>
      <c r="C62" s="28"/>
      <c r="D62" s="29" t="str">
        <f>IFERROR(D58,"미입력")</f>
        <v/>
      </c>
      <c r="E62" s="30" t="s">
        <v>13</v>
      </c>
      <c r="F62" s="31"/>
      <c r="G62" s="32"/>
    </row>
    <row r="63" ht="16.5" customHeight="1">
      <c r="A63" s="36"/>
      <c r="B63" s="37" t="s">
        <v>86</v>
      </c>
      <c r="C63" s="38"/>
      <c r="D63" s="39">
        <f>IFERROR(D17+D26+D39+D48+D57+D62, 0)</f>
        <v>0</v>
      </c>
      <c r="E63" s="40" t="s">
        <v>87</v>
      </c>
      <c r="F63" s="39"/>
      <c r="G63" s="41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6.5" customHeight="1">
      <c r="B64" s="42"/>
      <c r="C64" s="43"/>
      <c r="D64" s="44" t="str">
        <f>IF(D63&gt;=18,"매우성공적",IF(D63&gt;=14,"성공적",IF(D63&gt;=10,"부분성공적",IF(8&gt;D63,"미흡"))))</f>
        <v>미흡</v>
      </c>
      <c r="E64" s="45"/>
      <c r="F64" s="46"/>
      <c r="G64" s="47"/>
    </row>
    <row r="65" ht="16.5" customHeight="1">
      <c r="F65" s="1"/>
    </row>
    <row r="66" ht="16.5" customHeight="1">
      <c r="F66" s="1"/>
    </row>
    <row r="67" ht="16.5" customHeight="1">
      <c r="F67" s="1"/>
    </row>
    <row r="68" ht="16.5" customHeight="1">
      <c r="F68" s="1"/>
    </row>
    <row r="69" ht="16.5" customHeight="1">
      <c r="F69" s="1"/>
    </row>
    <row r="70" ht="16.5" customHeight="1">
      <c r="F70" s="1"/>
    </row>
    <row r="71" ht="16.5" customHeight="1">
      <c r="F71" s="1"/>
    </row>
    <row r="72" ht="16.5" customHeight="1">
      <c r="F72" s="1"/>
    </row>
    <row r="73" ht="16.5" customHeight="1">
      <c r="F73" s="1"/>
    </row>
    <row r="74" ht="16.5" customHeight="1">
      <c r="F74" s="1"/>
    </row>
    <row r="75" ht="16.5" customHeight="1">
      <c r="F75" s="1"/>
    </row>
    <row r="76" ht="16.5" customHeight="1">
      <c r="F76" s="1"/>
    </row>
    <row r="77" ht="16.5" customHeight="1">
      <c r="F77" s="1"/>
    </row>
    <row r="78" ht="16.5" customHeight="1">
      <c r="F78" s="1"/>
    </row>
    <row r="79" ht="16.5" customHeight="1">
      <c r="F79" s="1"/>
    </row>
    <row r="80" ht="16.5" customHeight="1">
      <c r="F80" s="1"/>
    </row>
    <row r="81" ht="16.5" customHeight="1">
      <c r="F81" s="1"/>
    </row>
    <row r="82" ht="16.5" customHeight="1">
      <c r="F82" s="1"/>
    </row>
    <row r="83" ht="16.5" customHeight="1">
      <c r="F83" s="1"/>
    </row>
    <row r="84" ht="16.5" customHeight="1">
      <c r="F84" s="1"/>
    </row>
    <row r="85" ht="16.5" customHeight="1">
      <c r="F85" s="1"/>
    </row>
    <row r="86" ht="16.5" customHeight="1">
      <c r="F86" s="1"/>
    </row>
    <row r="87" ht="16.5" customHeight="1">
      <c r="F87" s="1"/>
    </row>
    <row r="88" ht="16.5" customHeight="1">
      <c r="F88" s="1"/>
    </row>
    <row r="89" ht="16.5" customHeight="1">
      <c r="F89" s="1"/>
    </row>
    <row r="90" ht="16.5" customHeight="1">
      <c r="F90" s="1"/>
    </row>
    <row r="91" ht="16.5" customHeight="1">
      <c r="F91" s="1"/>
    </row>
    <row r="92" ht="16.5" customHeight="1">
      <c r="F92" s="1"/>
    </row>
    <row r="93" ht="16.5" customHeight="1">
      <c r="F93" s="1"/>
    </row>
    <row r="94" ht="16.5" customHeight="1">
      <c r="F94" s="1"/>
    </row>
    <row r="95" ht="16.5" customHeight="1">
      <c r="F95" s="1"/>
    </row>
    <row r="96" ht="16.5" customHeight="1">
      <c r="F96" s="1"/>
    </row>
    <row r="97" ht="16.5" customHeight="1">
      <c r="F97" s="1"/>
    </row>
    <row r="98" ht="16.5" customHeight="1">
      <c r="F98" s="1"/>
    </row>
    <row r="99" ht="16.5" customHeight="1">
      <c r="F99" s="1"/>
    </row>
    <row r="100" ht="16.5" customHeight="1">
      <c r="F100" s="1"/>
    </row>
    <row r="101" ht="16.5" customHeight="1">
      <c r="F101" s="1"/>
    </row>
    <row r="102" ht="16.5" customHeight="1">
      <c r="F102" s="1"/>
    </row>
    <row r="103" ht="16.5" customHeight="1">
      <c r="F103" s="1"/>
    </row>
    <row r="104" ht="16.5" customHeight="1">
      <c r="F104" s="1"/>
    </row>
    <row r="105" ht="16.5" customHeight="1">
      <c r="F105" s="1"/>
    </row>
    <row r="106" ht="16.5" customHeight="1">
      <c r="F106" s="1"/>
    </row>
    <row r="107" ht="16.5" customHeight="1">
      <c r="F107" s="1"/>
    </row>
    <row r="108" ht="16.5" customHeight="1">
      <c r="F108" s="1"/>
    </row>
    <row r="109" ht="16.5" customHeight="1">
      <c r="F109" s="1"/>
    </row>
    <row r="110" ht="16.5" customHeight="1">
      <c r="F110" s="1"/>
    </row>
    <row r="111" ht="16.5" customHeight="1">
      <c r="F111" s="1"/>
    </row>
    <row r="112" ht="16.5" customHeight="1">
      <c r="F112" s="1"/>
    </row>
    <row r="113" ht="16.5" customHeight="1">
      <c r="F113" s="1"/>
    </row>
    <row r="114" ht="16.5" customHeight="1">
      <c r="F114" s="1"/>
    </row>
    <row r="115" ht="16.5" customHeight="1">
      <c r="F115" s="1"/>
    </row>
    <row r="116" ht="16.5" customHeight="1">
      <c r="F116" s="1"/>
    </row>
    <row r="117" ht="16.5" customHeight="1">
      <c r="F117" s="1"/>
    </row>
    <row r="118" ht="16.5" customHeight="1">
      <c r="F118" s="1"/>
    </row>
    <row r="119" ht="16.5" customHeight="1">
      <c r="F119" s="1"/>
    </row>
    <row r="120" ht="16.5" customHeight="1">
      <c r="F120" s="1"/>
    </row>
    <row r="121" ht="16.5" customHeight="1">
      <c r="F121" s="1"/>
    </row>
    <row r="122" ht="16.5" customHeight="1">
      <c r="F122" s="1"/>
    </row>
    <row r="123" ht="16.5" customHeight="1">
      <c r="F123" s="1"/>
    </row>
    <row r="124" ht="16.5" customHeight="1">
      <c r="F124" s="1"/>
    </row>
    <row r="125" ht="16.5" customHeight="1">
      <c r="F125" s="1"/>
    </row>
    <row r="126" ht="16.5" customHeight="1">
      <c r="F126" s="1"/>
    </row>
    <row r="127" ht="16.5" customHeight="1">
      <c r="F127" s="1"/>
    </row>
    <row r="128" ht="16.5" customHeight="1">
      <c r="F128" s="1"/>
    </row>
    <row r="129" ht="16.5" customHeight="1">
      <c r="F129" s="1"/>
    </row>
    <row r="130" ht="16.5" customHeight="1">
      <c r="F130" s="1"/>
    </row>
    <row r="131" ht="16.5" customHeight="1">
      <c r="F131" s="1"/>
    </row>
    <row r="132" ht="16.5" customHeight="1">
      <c r="F132" s="1"/>
    </row>
    <row r="133" ht="16.5" customHeight="1">
      <c r="F133" s="1"/>
    </row>
    <row r="134" ht="16.5" customHeight="1">
      <c r="F134" s="1"/>
    </row>
    <row r="135" ht="16.5" customHeight="1">
      <c r="F135" s="1"/>
    </row>
    <row r="136" ht="16.5" customHeight="1">
      <c r="F136" s="1"/>
    </row>
    <row r="137" ht="16.5" customHeight="1">
      <c r="F137" s="1"/>
    </row>
    <row r="138" ht="16.5" customHeight="1">
      <c r="F138" s="1"/>
    </row>
    <row r="139" ht="16.5" customHeight="1">
      <c r="F139" s="1"/>
    </row>
    <row r="140" ht="16.5" customHeight="1">
      <c r="F140" s="1"/>
    </row>
    <row r="141" ht="16.5" customHeight="1">
      <c r="F141" s="1"/>
    </row>
    <row r="142" ht="16.5" customHeight="1">
      <c r="F142" s="1"/>
    </row>
    <row r="143" ht="16.5" customHeight="1">
      <c r="F143" s="1"/>
    </row>
    <row r="144" ht="16.5" customHeight="1">
      <c r="F144" s="1"/>
    </row>
    <row r="145" ht="16.5" customHeight="1">
      <c r="F145" s="1"/>
    </row>
    <row r="146" ht="16.5" customHeight="1">
      <c r="F146" s="1"/>
    </row>
    <row r="147" ht="16.5" customHeight="1">
      <c r="F147" s="1"/>
    </row>
    <row r="148" ht="16.5" customHeight="1">
      <c r="F148" s="1"/>
    </row>
    <row r="149" ht="16.5" customHeight="1">
      <c r="F149" s="1"/>
    </row>
    <row r="150" ht="16.5" customHeight="1">
      <c r="F150" s="1"/>
    </row>
    <row r="151" ht="16.5" customHeight="1">
      <c r="F151" s="1"/>
    </row>
    <row r="152" ht="16.5" customHeight="1">
      <c r="F152" s="1"/>
    </row>
    <row r="153" ht="16.5" customHeight="1">
      <c r="F153" s="1"/>
    </row>
    <row r="154" ht="16.5" customHeight="1">
      <c r="F154" s="1"/>
    </row>
    <row r="155" ht="16.5" customHeight="1">
      <c r="F155" s="1"/>
    </row>
    <row r="156" ht="16.5" customHeight="1">
      <c r="F156" s="1"/>
    </row>
    <row r="157" ht="16.5" customHeight="1">
      <c r="F157" s="1"/>
    </row>
    <row r="158" ht="16.5" customHeight="1">
      <c r="F158" s="1"/>
    </row>
    <row r="159" ht="16.5" customHeight="1">
      <c r="F159" s="1"/>
    </row>
    <row r="160" ht="16.5" customHeight="1">
      <c r="F160" s="1"/>
    </row>
    <row r="161" ht="16.5" customHeight="1">
      <c r="F161" s="1"/>
    </row>
    <row r="162" ht="16.5" customHeight="1">
      <c r="F162" s="1"/>
    </row>
    <row r="163" ht="16.5" customHeight="1">
      <c r="F163" s="1"/>
    </row>
    <row r="164" ht="16.5" customHeight="1">
      <c r="F164" s="1"/>
    </row>
    <row r="165" ht="16.5" customHeight="1">
      <c r="F165" s="1"/>
    </row>
    <row r="166" ht="16.5" customHeight="1">
      <c r="F166" s="1"/>
    </row>
    <row r="167" ht="16.5" customHeight="1">
      <c r="F167" s="1"/>
    </row>
    <row r="168" ht="16.5" customHeight="1">
      <c r="F168" s="1"/>
    </row>
    <row r="169" ht="16.5" customHeight="1">
      <c r="F169" s="1"/>
    </row>
    <row r="170" ht="16.5" customHeight="1">
      <c r="F170" s="1"/>
    </row>
    <row r="171" ht="16.5" customHeight="1">
      <c r="F171" s="1"/>
    </row>
    <row r="172" ht="16.5" customHeight="1">
      <c r="F172" s="1"/>
    </row>
    <row r="173" ht="16.5" customHeight="1">
      <c r="F173" s="1"/>
    </row>
    <row r="174" ht="16.5" customHeight="1">
      <c r="F174" s="1"/>
    </row>
    <row r="175" ht="16.5" customHeight="1">
      <c r="F175" s="1"/>
    </row>
    <row r="176" ht="16.5" customHeight="1">
      <c r="F176" s="1"/>
    </row>
    <row r="177" ht="16.5" customHeight="1">
      <c r="F177" s="1"/>
    </row>
    <row r="178" ht="16.5" customHeight="1">
      <c r="F178" s="1"/>
    </row>
    <row r="179" ht="16.5" customHeight="1">
      <c r="F179" s="1"/>
    </row>
    <row r="180" ht="16.5" customHeight="1">
      <c r="F180" s="1"/>
    </row>
    <row r="181" ht="16.5" customHeight="1">
      <c r="F181" s="1"/>
    </row>
    <row r="182" ht="16.5" customHeight="1">
      <c r="F182" s="1"/>
    </row>
    <row r="183" ht="16.5" customHeight="1">
      <c r="F183" s="1"/>
    </row>
    <row r="184" ht="16.5" customHeight="1">
      <c r="F184" s="1"/>
    </row>
    <row r="185" ht="16.5" customHeight="1">
      <c r="F185" s="1"/>
    </row>
    <row r="186" ht="16.5" customHeight="1">
      <c r="F186" s="1"/>
    </row>
    <row r="187" ht="16.5" customHeight="1">
      <c r="F187" s="1"/>
    </row>
    <row r="188" ht="16.5" customHeight="1">
      <c r="F188" s="1"/>
    </row>
    <row r="189" ht="16.5" customHeight="1">
      <c r="F189" s="1"/>
    </row>
    <row r="190" ht="16.5" customHeight="1">
      <c r="F190" s="1"/>
    </row>
    <row r="191" ht="16.5" customHeight="1">
      <c r="F191" s="1"/>
    </row>
    <row r="192" ht="16.5" customHeight="1">
      <c r="F192" s="1"/>
    </row>
    <row r="193" ht="16.5" customHeight="1">
      <c r="F193" s="1"/>
    </row>
    <row r="194" ht="16.5" customHeight="1">
      <c r="F194" s="1"/>
    </row>
    <row r="195" ht="16.5" customHeight="1">
      <c r="F195" s="1"/>
    </row>
    <row r="196" ht="16.5" customHeight="1">
      <c r="F196" s="1"/>
    </row>
    <row r="197" ht="16.5" customHeight="1">
      <c r="F197" s="1"/>
    </row>
    <row r="198" ht="16.5" customHeight="1">
      <c r="F198" s="1"/>
    </row>
    <row r="199" ht="16.5" customHeight="1">
      <c r="F199" s="1"/>
    </row>
    <row r="200" ht="16.5" customHeight="1">
      <c r="F200" s="1"/>
    </row>
    <row r="201" ht="16.5" customHeight="1">
      <c r="F201" s="1"/>
    </row>
    <row r="202" ht="16.5" customHeight="1">
      <c r="F202" s="1"/>
    </row>
    <row r="203" ht="16.5" customHeight="1">
      <c r="F203" s="1"/>
    </row>
    <row r="204" ht="16.5" customHeight="1">
      <c r="F204" s="1"/>
    </row>
    <row r="205" ht="16.5" customHeight="1">
      <c r="F205" s="1"/>
    </row>
    <row r="206" ht="16.5" customHeight="1">
      <c r="F206" s="1"/>
    </row>
    <row r="207" ht="16.5" customHeight="1">
      <c r="F207" s="1"/>
    </row>
    <row r="208" ht="16.5" customHeight="1">
      <c r="F208" s="1"/>
    </row>
    <row r="209" ht="16.5" customHeight="1">
      <c r="F209" s="1"/>
    </row>
    <row r="210" ht="16.5" customHeight="1">
      <c r="F210" s="1"/>
    </row>
    <row r="211" ht="16.5" customHeight="1">
      <c r="F211" s="1"/>
    </row>
    <row r="212" ht="16.5" customHeight="1">
      <c r="F212" s="1"/>
    </row>
    <row r="213" ht="16.5" customHeight="1">
      <c r="F213" s="1"/>
    </row>
    <row r="214" ht="16.5" customHeight="1">
      <c r="F214" s="1"/>
    </row>
    <row r="215" ht="16.5" customHeight="1">
      <c r="F215" s="1"/>
    </row>
    <row r="216" ht="16.5" customHeight="1">
      <c r="F216" s="1"/>
    </row>
    <row r="217" ht="16.5" customHeight="1">
      <c r="F217" s="1"/>
    </row>
    <row r="218" ht="16.5" customHeight="1">
      <c r="F218" s="1"/>
    </row>
    <row r="219" ht="16.5" customHeight="1">
      <c r="F219" s="1"/>
    </row>
    <row r="220" ht="16.5" customHeight="1">
      <c r="F220" s="1"/>
    </row>
    <row r="221" ht="16.5" customHeight="1">
      <c r="F221" s="1"/>
    </row>
    <row r="222" ht="16.5" customHeight="1">
      <c r="F222" s="1"/>
    </row>
    <row r="223" ht="16.5" customHeight="1">
      <c r="F223" s="1"/>
    </row>
    <row r="224" ht="16.5" customHeight="1">
      <c r="F224" s="1"/>
    </row>
    <row r="225" ht="16.5" customHeight="1">
      <c r="F225" s="1"/>
    </row>
    <row r="226" ht="16.5" customHeight="1">
      <c r="F226" s="1"/>
    </row>
    <row r="227" ht="16.5" customHeight="1">
      <c r="F227" s="1"/>
    </row>
    <row r="228" ht="16.5" customHeight="1">
      <c r="F228" s="1"/>
    </row>
    <row r="229" ht="16.5" customHeight="1">
      <c r="F229" s="1"/>
    </row>
    <row r="230" ht="16.5" customHeight="1">
      <c r="F230" s="1"/>
    </row>
    <row r="231" ht="16.5" customHeight="1">
      <c r="F231" s="1"/>
    </row>
    <row r="232" ht="16.5" customHeight="1">
      <c r="F232" s="1"/>
    </row>
    <row r="233" ht="16.5" customHeight="1">
      <c r="F233" s="1"/>
    </row>
    <row r="234" ht="16.5" customHeight="1">
      <c r="F234" s="1"/>
    </row>
    <row r="235" ht="16.5" customHeight="1">
      <c r="F235" s="1"/>
    </row>
    <row r="236" ht="16.5" customHeight="1">
      <c r="F236" s="1"/>
    </row>
    <row r="237" ht="16.5" customHeight="1">
      <c r="F237" s="1"/>
    </row>
    <row r="238" ht="16.5" customHeight="1">
      <c r="F238" s="1"/>
    </row>
    <row r="239" ht="16.5" customHeight="1">
      <c r="F239" s="1"/>
    </row>
    <row r="240" ht="16.5" customHeight="1">
      <c r="F240" s="1"/>
    </row>
    <row r="241" ht="16.5" customHeight="1">
      <c r="F241" s="1"/>
    </row>
    <row r="242" ht="16.5" customHeight="1">
      <c r="F242" s="1"/>
    </row>
    <row r="243" ht="16.5" customHeight="1">
      <c r="F243" s="1"/>
    </row>
    <row r="244" ht="16.5" customHeight="1">
      <c r="F244" s="1"/>
    </row>
    <row r="245" ht="16.5" customHeight="1">
      <c r="F245" s="1"/>
    </row>
    <row r="246" ht="16.5" customHeight="1">
      <c r="F246" s="1"/>
    </row>
    <row r="247" ht="16.5" customHeight="1">
      <c r="F247" s="1"/>
    </row>
    <row r="248" ht="16.5" customHeight="1">
      <c r="F248" s="1"/>
    </row>
    <row r="249" ht="16.5" customHeight="1">
      <c r="F249" s="1"/>
    </row>
    <row r="250" ht="16.5" customHeight="1">
      <c r="F250" s="1"/>
    </row>
    <row r="251" ht="16.5" customHeight="1">
      <c r="F251" s="1"/>
    </row>
    <row r="252" ht="16.5" customHeight="1">
      <c r="F252" s="1"/>
    </row>
    <row r="253" ht="16.5" customHeight="1">
      <c r="F253" s="1"/>
    </row>
    <row r="254" ht="16.5" customHeight="1">
      <c r="F254" s="1"/>
    </row>
    <row r="255" ht="16.5" customHeight="1">
      <c r="F255" s="1"/>
    </row>
    <row r="256" ht="16.5" customHeight="1">
      <c r="F256" s="1"/>
    </row>
    <row r="257" ht="16.5" customHeight="1">
      <c r="F257" s="1"/>
    </row>
    <row r="258" ht="16.5" customHeight="1">
      <c r="F258" s="1"/>
    </row>
    <row r="259" ht="16.5" customHeight="1">
      <c r="F259" s="1"/>
    </row>
    <row r="260" ht="16.5" customHeight="1">
      <c r="F260" s="1"/>
    </row>
    <row r="261" ht="16.5" customHeight="1">
      <c r="F261" s="1"/>
    </row>
    <row r="262" ht="16.5" customHeight="1">
      <c r="F262" s="1"/>
    </row>
    <row r="263" ht="16.5" customHeight="1">
      <c r="F263" s="1"/>
    </row>
    <row r="264" ht="16.5" customHeight="1">
      <c r="F264" s="1"/>
    </row>
    <row r="265" ht="16.5" customHeight="1">
      <c r="F265" s="1"/>
    </row>
    <row r="266" ht="16.5" customHeight="1">
      <c r="F266" s="1"/>
    </row>
    <row r="267" ht="16.5" customHeight="1">
      <c r="F267" s="1"/>
    </row>
    <row r="268" ht="16.5" customHeight="1">
      <c r="F268" s="1"/>
    </row>
    <row r="269" ht="16.5" customHeight="1">
      <c r="F269" s="1"/>
    </row>
    <row r="270" ht="16.5" customHeight="1">
      <c r="F270" s="1"/>
    </row>
    <row r="271" ht="16.5" customHeight="1">
      <c r="F271" s="1"/>
    </row>
    <row r="272" ht="16.5" customHeight="1">
      <c r="F272" s="1"/>
    </row>
    <row r="273" ht="16.5" customHeight="1">
      <c r="F273" s="1"/>
    </row>
    <row r="274" ht="16.5" customHeight="1">
      <c r="F274" s="1"/>
    </row>
    <row r="275" ht="16.5" customHeight="1">
      <c r="F275" s="1"/>
    </row>
    <row r="276" ht="16.5" customHeight="1">
      <c r="F276" s="1"/>
    </row>
    <row r="277" ht="16.5" customHeight="1">
      <c r="F277" s="1"/>
    </row>
    <row r="278" ht="16.5" customHeight="1">
      <c r="F278" s="1"/>
    </row>
    <row r="279" ht="16.5" customHeight="1">
      <c r="F279" s="1"/>
    </row>
    <row r="280" ht="16.5" customHeight="1">
      <c r="F280" s="1"/>
    </row>
    <row r="281" ht="16.5" customHeight="1">
      <c r="F281" s="1"/>
    </row>
    <row r="282" ht="16.5" customHeight="1">
      <c r="F282" s="1"/>
    </row>
    <row r="283" ht="16.5" customHeight="1">
      <c r="F283" s="1"/>
    </row>
    <row r="284" ht="16.5" customHeight="1">
      <c r="F284" s="1"/>
    </row>
    <row r="285" ht="16.5" customHeight="1">
      <c r="F285" s="1"/>
    </row>
    <row r="286" ht="16.5" customHeight="1">
      <c r="F286" s="1"/>
    </row>
    <row r="287" ht="16.5" customHeight="1">
      <c r="F287" s="1"/>
    </row>
    <row r="288" ht="16.5" customHeight="1">
      <c r="F288" s="1"/>
    </row>
    <row r="289" ht="16.5" customHeight="1">
      <c r="F289" s="1"/>
    </row>
    <row r="290" ht="16.5" customHeight="1">
      <c r="F290" s="1"/>
    </row>
    <row r="291" ht="16.5" customHeight="1">
      <c r="F291" s="1"/>
    </row>
    <row r="292" ht="16.5" customHeight="1">
      <c r="F292" s="1"/>
    </row>
    <row r="293" ht="16.5" customHeight="1">
      <c r="F293" s="1"/>
    </row>
    <row r="294" ht="16.5" customHeight="1">
      <c r="F294" s="1"/>
    </row>
    <row r="295" ht="16.5" customHeight="1">
      <c r="F295" s="1"/>
    </row>
    <row r="296" ht="16.5" customHeight="1">
      <c r="F296" s="1"/>
    </row>
    <row r="297" ht="16.5" customHeight="1">
      <c r="F297" s="1"/>
    </row>
    <row r="298" ht="16.5" customHeight="1">
      <c r="F298" s="1"/>
    </row>
    <row r="299" ht="16.5" customHeight="1">
      <c r="F299" s="1"/>
    </row>
    <row r="300" ht="16.5" customHeight="1">
      <c r="F300" s="1"/>
    </row>
    <row r="301" ht="16.5" customHeight="1">
      <c r="F301" s="1"/>
    </row>
    <row r="302" ht="16.5" customHeight="1">
      <c r="F302" s="1"/>
    </row>
    <row r="303" ht="16.5" customHeight="1">
      <c r="F303" s="1"/>
    </row>
    <row r="304" ht="16.5" customHeight="1">
      <c r="F304" s="1"/>
    </row>
    <row r="305" ht="16.5" customHeight="1">
      <c r="F305" s="1"/>
    </row>
    <row r="306" ht="16.5" customHeight="1">
      <c r="F306" s="1"/>
    </row>
    <row r="307" ht="16.5" customHeight="1">
      <c r="F307" s="1"/>
    </row>
    <row r="308" ht="16.5" customHeight="1">
      <c r="F308" s="1"/>
    </row>
    <row r="309" ht="16.5" customHeight="1">
      <c r="F309" s="1"/>
    </row>
    <row r="310" ht="16.5" customHeight="1">
      <c r="F310" s="1"/>
    </row>
    <row r="311" ht="16.5" customHeight="1">
      <c r="F311" s="1"/>
    </row>
    <row r="312" ht="16.5" customHeight="1">
      <c r="F312" s="1"/>
    </row>
    <row r="313" ht="16.5" customHeight="1">
      <c r="F313" s="1"/>
    </row>
    <row r="314" ht="16.5" customHeight="1">
      <c r="F314" s="1"/>
    </row>
    <row r="315" ht="16.5" customHeight="1">
      <c r="F315" s="1"/>
    </row>
    <row r="316" ht="16.5" customHeight="1">
      <c r="F316" s="1"/>
    </row>
    <row r="317" ht="16.5" customHeight="1">
      <c r="F317" s="1"/>
    </row>
    <row r="318" ht="16.5" customHeight="1">
      <c r="F318" s="1"/>
    </row>
    <row r="319" ht="16.5" customHeight="1">
      <c r="F319" s="1"/>
    </row>
    <row r="320" ht="16.5" customHeight="1">
      <c r="F320" s="1"/>
    </row>
    <row r="321" ht="16.5" customHeight="1">
      <c r="F321" s="1"/>
    </row>
    <row r="322" ht="16.5" customHeight="1">
      <c r="F322" s="1"/>
    </row>
    <row r="323" ht="16.5" customHeight="1">
      <c r="F323" s="1"/>
    </row>
    <row r="324" ht="16.5" customHeight="1">
      <c r="F324" s="1"/>
    </row>
    <row r="325" ht="16.5" customHeight="1">
      <c r="F325" s="1"/>
    </row>
    <row r="326" ht="16.5" customHeight="1">
      <c r="F326" s="1"/>
    </row>
    <row r="327" ht="16.5" customHeight="1">
      <c r="F327" s="1"/>
    </row>
    <row r="328" ht="16.5" customHeight="1">
      <c r="F328" s="1"/>
    </row>
    <row r="329" ht="16.5" customHeight="1">
      <c r="F329" s="1"/>
    </row>
    <row r="330" ht="16.5" customHeight="1">
      <c r="F330" s="1"/>
    </row>
    <row r="331" ht="16.5" customHeight="1">
      <c r="F331" s="1"/>
    </row>
    <row r="332" ht="16.5" customHeight="1">
      <c r="F332" s="1"/>
    </row>
    <row r="333" ht="16.5" customHeight="1">
      <c r="F333" s="1"/>
    </row>
    <row r="334" ht="16.5" customHeight="1">
      <c r="F334" s="1"/>
    </row>
    <row r="335" ht="16.5" customHeight="1">
      <c r="F335" s="1"/>
    </row>
    <row r="336" ht="16.5" customHeight="1">
      <c r="F336" s="1"/>
    </row>
    <row r="337" ht="16.5" customHeight="1">
      <c r="F337" s="1"/>
    </row>
    <row r="338" ht="16.5" customHeight="1">
      <c r="F338" s="1"/>
    </row>
    <row r="339" ht="16.5" customHeight="1">
      <c r="F339" s="1"/>
    </row>
    <row r="340" ht="16.5" customHeight="1">
      <c r="F340" s="1"/>
    </row>
    <row r="341" ht="16.5" customHeight="1">
      <c r="F341" s="1"/>
    </row>
    <row r="342" ht="16.5" customHeight="1">
      <c r="F342" s="1"/>
    </row>
    <row r="343" ht="16.5" customHeight="1">
      <c r="F343" s="1"/>
    </row>
    <row r="344" ht="16.5" customHeight="1">
      <c r="F344" s="1"/>
    </row>
    <row r="345" ht="16.5" customHeight="1">
      <c r="F345" s="1"/>
    </row>
    <row r="346" ht="16.5" customHeight="1">
      <c r="F346" s="1"/>
    </row>
    <row r="347" ht="16.5" customHeight="1">
      <c r="F347" s="1"/>
    </row>
    <row r="348" ht="16.5" customHeight="1">
      <c r="F348" s="1"/>
    </row>
    <row r="349" ht="16.5" customHeight="1">
      <c r="F349" s="1"/>
    </row>
    <row r="350" ht="16.5" customHeight="1">
      <c r="F350" s="1"/>
    </row>
    <row r="351" ht="16.5" customHeight="1">
      <c r="F351" s="1"/>
    </row>
    <row r="352" ht="16.5" customHeight="1">
      <c r="F352" s="1"/>
    </row>
    <row r="353" ht="16.5" customHeight="1">
      <c r="F353" s="1"/>
    </row>
    <row r="354" ht="16.5" customHeight="1">
      <c r="F354" s="1"/>
    </row>
    <row r="355" ht="16.5" customHeight="1">
      <c r="F355" s="1"/>
    </row>
    <row r="356" ht="16.5" customHeight="1">
      <c r="F356" s="1"/>
    </row>
    <row r="357" ht="16.5" customHeight="1">
      <c r="F357" s="1"/>
    </row>
    <row r="358" ht="16.5" customHeight="1">
      <c r="F358" s="1"/>
    </row>
    <row r="359" ht="16.5" customHeight="1">
      <c r="F359" s="1"/>
    </row>
    <row r="360" ht="16.5" customHeight="1">
      <c r="F360" s="1"/>
    </row>
    <row r="361" ht="16.5" customHeight="1">
      <c r="F361" s="1"/>
    </row>
    <row r="362" ht="16.5" customHeight="1">
      <c r="F362" s="1"/>
    </row>
    <row r="363" ht="16.5" customHeight="1">
      <c r="F363" s="1"/>
    </row>
    <row r="364" ht="16.5" customHeight="1">
      <c r="F364" s="1"/>
    </row>
    <row r="365" ht="16.5" customHeight="1">
      <c r="F365" s="1"/>
    </row>
    <row r="366" ht="16.5" customHeight="1">
      <c r="F366" s="1"/>
    </row>
    <row r="367" ht="16.5" customHeight="1">
      <c r="F367" s="1"/>
    </row>
    <row r="368" ht="16.5" customHeight="1">
      <c r="F368" s="1"/>
    </row>
    <row r="369" ht="16.5" customHeight="1">
      <c r="F369" s="1"/>
    </row>
    <row r="370" ht="16.5" customHeight="1">
      <c r="F370" s="1"/>
    </row>
    <row r="371" ht="16.5" customHeight="1">
      <c r="F371" s="1"/>
    </row>
    <row r="372" ht="16.5" customHeight="1">
      <c r="F372" s="1"/>
    </row>
    <row r="373" ht="16.5" customHeight="1">
      <c r="F373" s="1"/>
    </row>
    <row r="374" ht="16.5" customHeight="1">
      <c r="F374" s="1"/>
    </row>
    <row r="375" ht="16.5" customHeight="1">
      <c r="F375" s="1"/>
    </row>
    <row r="376" ht="16.5" customHeight="1">
      <c r="F376" s="1"/>
    </row>
    <row r="377" ht="16.5" customHeight="1">
      <c r="F377" s="1"/>
    </row>
    <row r="378" ht="16.5" customHeight="1">
      <c r="F378" s="1"/>
    </row>
    <row r="379" ht="16.5" customHeight="1">
      <c r="F379" s="1"/>
    </row>
    <row r="380" ht="16.5" customHeight="1">
      <c r="F380" s="1"/>
    </row>
    <row r="381" ht="16.5" customHeight="1">
      <c r="F381" s="1"/>
    </row>
    <row r="382" ht="16.5" customHeight="1">
      <c r="F382" s="1"/>
    </row>
    <row r="383" ht="16.5" customHeight="1">
      <c r="F383" s="1"/>
    </row>
    <row r="384" ht="16.5" customHeight="1">
      <c r="F384" s="1"/>
    </row>
    <row r="385" ht="16.5" customHeight="1">
      <c r="F385" s="1"/>
    </row>
    <row r="386" ht="16.5" customHeight="1">
      <c r="F386" s="1"/>
    </row>
    <row r="387" ht="16.5" customHeight="1">
      <c r="F387" s="1"/>
    </row>
    <row r="388" ht="16.5" customHeight="1">
      <c r="F388" s="1"/>
    </row>
    <row r="389" ht="16.5" customHeight="1">
      <c r="F389" s="1"/>
    </row>
    <row r="390" ht="16.5" customHeight="1">
      <c r="F390" s="1"/>
    </row>
    <row r="391" ht="16.5" customHeight="1">
      <c r="F391" s="1"/>
    </row>
    <row r="392" ht="16.5" customHeight="1">
      <c r="F392" s="1"/>
    </row>
    <row r="393" ht="16.5" customHeight="1">
      <c r="F393" s="1"/>
    </row>
    <row r="394" ht="16.5" customHeight="1">
      <c r="F394" s="1"/>
    </row>
    <row r="395" ht="16.5" customHeight="1">
      <c r="F395" s="1"/>
    </row>
    <row r="396" ht="16.5" customHeight="1">
      <c r="F396" s="1"/>
    </row>
    <row r="397" ht="16.5" customHeight="1">
      <c r="F397" s="1"/>
    </row>
    <row r="398" ht="16.5" customHeight="1">
      <c r="F398" s="1"/>
    </row>
    <row r="399" ht="16.5" customHeight="1">
      <c r="F399" s="1"/>
    </row>
    <row r="400" ht="16.5" customHeight="1">
      <c r="F400" s="1"/>
    </row>
    <row r="401" ht="16.5" customHeight="1">
      <c r="F401" s="1"/>
    </row>
    <row r="402" ht="16.5" customHeight="1">
      <c r="F402" s="1"/>
    </row>
    <row r="403" ht="16.5" customHeight="1">
      <c r="F403" s="1"/>
    </row>
    <row r="404" ht="16.5" customHeight="1">
      <c r="F404" s="1"/>
    </row>
    <row r="405" ht="16.5" customHeight="1">
      <c r="F405" s="1"/>
    </row>
    <row r="406" ht="16.5" customHeight="1">
      <c r="F406" s="1"/>
    </row>
    <row r="407" ht="16.5" customHeight="1">
      <c r="F407" s="1"/>
    </row>
    <row r="408" ht="16.5" customHeight="1">
      <c r="F408" s="1"/>
    </row>
    <row r="409" ht="16.5" customHeight="1">
      <c r="F409" s="1"/>
    </row>
    <row r="410" ht="16.5" customHeight="1">
      <c r="F410" s="1"/>
    </row>
    <row r="411" ht="16.5" customHeight="1">
      <c r="F411" s="1"/>
    </row>
    <row r="412" ht="16.5" customHeight="1">
      <c r="F412" s="1"/>
    </row>
    <row r="413" ht="16.5" customHeight="1">
      <c r="F413" s="1"/>
    </row>
    <row r="414" ht="16.5" customHeight="1">
      <c r="F414" s="1"/>
    </row>
    <row r="415" ht="16.5" customHeight="1">
      <c r="F415" s="1"/>
    </row>
    <row r="416" ht="16.5" customHeight="1">
      <c r="F416" s="1"/>
    </row>
    <row r="417" ht="16.5" customHeight="1">
      <c r="F417" s="1"/>
    </row>
    <row r="418" ht="16.5" customHeight="1">
      <c r="F418" s="1"/>
    </row>
    <row r="419" ht="16.5" customHeight="1">
      <c r="F419" s="1"/>
    </row>
    <row r="420" ht="16.5" customHeight="1">
      <c r="F420" s="1"/>
    </row>
    <row r="421" ht="16.5" customHeight="1">
      <c r="F421" s="1"/>
    </row>
    <row r="422" ht="16.5" customHeight="1">
      <c r="F422" s="1"/>
    </row>
    <row r="423" ht="16.5" customHeight="1">
      <c r="F423" s="1"/>
    </row>
    <row r="424" ht="16.5" customHeight="1">
      <c r="F424" s="1"/>
    </row>
    <row r="425" ht="16.5" customHeight="1">
      <c r="F425" s="1"/>
    </row>
    <row r="426" ht="16.5" customHeight="1">
      <c r="F426" s="1"/>
    </row>
    <row r="427" ht="16.5" customHeight="1">
      <c r="F427" s="1"/>
    </row>
    <row r="428" ht="16.5" customHeight="1">
      <c r="F428" s="1"/>
    </row>
    <row r="429" ht="16.5" customHeight="1">
      <c r="F429" s="1"/>
    </row>
    <row r="430" ht="16.5" customHeight="1">
      <c r="F430" s="1"/>
    </row>
    <row r="431" ht="16.5" customHeight="1">
      <c r="F431" s="1"/>
    </row>
    <row r="432" ht="16.5" customHeight="1">
      <c r="F432" s="1"/>
    </row>
    <row r="433" ht="16.5" customHeight="1">
      <c r="F433" s="1"/>
    </row>
    <row r="434" ht="16.5" customHeight="1">
      <c r="F434" s="1"/>
    </row>
    <row r="435" ht="16.5" customHeight="1">
      <c r="F435" s="1"/>
    </row>
    <row r="436" ht="16.5" customHeight="1">
      <c r="F436" s="1"/>
    </row>
    <row r="437" ht="16.5" customHeight="1">
      <c r="F437" s="1"/>
    </row>
    <row r="438" ht="16.5" customHeight="1">
      <c r="F438" s="1"/>
    </row>
    <row r="439" ht="16.5" customHeight="1">
      <c r="F439" s="1"/>
    </row>
    <row r="440" ht="16.5" customHeight="1">
      <c r="F440" s="1"/>
    </row>
    <row r="441" ht="16.5" customHeight="1">
      <c r="F441" s="1"/>
    </row>
    <row r="442" ht="16.5" customHeight="1">
      <c r="F442" s="1"/>
    </row>
    <row r="443" ht="16.5" customHeight="1">
      <c r="F443" s="1"/>
    </row>
    <row r="444" ht="16.5" customHeight="1">
      <c r="F444" s="1"/>
    </row>
    <row r="445" ht="16.5" customHeight="1">
      <c r="F445" s="1"/>
    </row>
    <row r="446" ht="16.5" customHeight="1">
      <c r="F446" s="1"/>
    </row>
    <row r="447" ht="16.5" customHeight="1">
      <c r="F447" s="1"/>
    </row>
    <row r="448" ht="16.5" customHeight="1">
      <c r="F448" s="1"/>
    </row>
    <row r="449" ht="16.5" customHeight="1">
      <c r="F449" s="1"/>
    </row>
    <row r="450" ht="16.5" customHeight="1">
      <c r="F450" s="1"/>
    </row>
    <row r="451" ht="16.5" customHeight="1">
      <c r="F451" s="1"/>
    </row>
    <row r="452" ht="16.5" customHeight="1">
      <c r="F452" s="1"/>
    </row>
    <row r="453" ht="16.5" customHeight="1">
      <c r="F453" s="1"/>
    </row>
    <row r="454" ht="16.5" customHeight="1">
      <c r="F454" s="1"/>
    </row>
    <row r="455" ht="16.5" customHeight="1">
      <c r="F455" s="1"/>
    </row>
    <row r="456" ht="16.5" customHeight="1">
      <c r="F456" s="1"/>
    </row>
    <row r="457" ht="16.5" customHeight="1">
      <c r="F457" s="1"/>
    </row>
    <row r="458" ht="16.5" customHeight="1">
      <c r="F458" s="1"/>
    </row>
    <row r="459" ht="16.5" customHeight="1">
      <c r="F459" s="1"/>
    </row>
    <row r="460" ht="16.5" customHeight="1">
      <c r="F460" s="1"/>
    </row>
    <row r="461" ht="16.5" customHeight="1">
      <c r="F461" s="1"/>
    </row>
    <row r="462" ht="16.5" customHeight="1">
      <c r="F462" s="1"/>
    </row>
    <row r="463" ht="16.5" customHeight="1">
      <c r="F463" s="1"/>
    </row>
    <row r="464" ht="16.5" customHeight="1">
      <c r="F464" s="1"/>
    </row>
    <row r="465" ht="16.5" customHeight="1">
      <c r="F465" s="1"/>
    </row>
    <row r="466" ht="16.5" customHeight="1">
      <c r="F466" s="1"/>
    </row>
    <row r="467" ht="16.5" customHeight="1">
      <c r="F467" s="1"/>
    </row>
    <row r="468" ht="16.5" customHeight="1">
      <c r="F468" s="1"/>
    </row>
    <row r="469" ht="16.5" customHeight="1">
      <c r="F469" s="1"/>
    </row>
    <row r="470" ht="16.5" customHeight="1">
      <c r="F470" s="1"/>
    </row>
    <row r="471" ht="16.5" customHeight="1">
      <c r="F471" s="1"/>
    </row>
    <row r="472" ht="16.5" customHeight="1">
      <c r="F472" s="1"/>
    </row>
    <row r="473" ht="16.5" customHeight="1">
      <c r="F473" s="1"/>
    </row>
    <row r="474" ht="16.5" customHeight="1">
      <c r="F474" s="1"/>
    </row>
    <row r="475" ht="16.5" customHeight="1">
      <c r="F475" s="1"/>
    </row>
    <row r="476" ht="16.5" customHeight="1">
      <c r="F476" s="1"/>
    </row>
    <row r="477" ht="16.5" customHeight="1">
      <c r="F477" s="1"/>
    </row>
    <row r="478" ht="16.5" customHeight="1">
      <c r="F478" s="1"/>
    </row>
    <row r="479" ht="16.5" customHeight="1">
      <c r="F479" s="1"/>
    </row>
    <row r="480" ht="16.5" customHeight="1">
      <c r="F480" s="1"/>
    </row>
    <row r="481" ht="16.5" customHeight="1">
      <c r="F481" s="1"/>
    </row>
    <row r="482" ht="16.5" customHeight="1">
      <c r="F482" s="1"/>
    </row>
    <row r="483" ht="16.5" customHeight="1">
      <c r="F483" s="1"/>
    </row>
    <row r="484" ht="16.5" customHeight="1">
      <c r="F484" s="1"/>
    </row>
    <row r="485" ht="16.5" customHeight="1">
      <c r="F485" s="1"/>
    </row>
    <row r="486" ht="16.5" customHeight="1">
      <c r="F486" s="1"/>
    </row>
    <row r="487" ht="16.5" customHeight="1">
      <c r="F487" s="1"/>
    </row>
    <row r="488" ht="16.5" customHeight="1">
      <c r="F488" s="1"/>
    </row>
    <row r="489" ht="16.5" customHeight="1">
      <c r="F489" s="1"/>
    </row>
    <row r="490" ht="16.5" customHeight="1">
      <c r="F490" s="1"/>
    </row>
    <row r="491" ht="16.5" customHeight="1">
      <c r="F491" s="1"/>
    </row>
    <row r="492" ht="16.5" customHeight="1">
      <c r="F492" s="1"/>
    </row>
    <row r="493" ht="16.5" customHeight="1">
      <c r="F493" s="1"/>
    </row>
    <row r="494" ht="16.5" customHeight="1">
      <c r="F494" s="1"/>
    </row>
    <row r="495" ht="16.5" customHeight="1">
      <c r="F495" s="1"/>
    </row>
    <row r="496" ht="16.5" customHeight="1">
      <c r="F496" s="1"/>
    </row>
    <row r="497" ht="16.5" customHeight="1">
      <c r="F497" s="1"/>
    </row>
    <row r="498" ht="16.5" customHeight="1">
      <c r="F498" s="1"/>
    </row>
    <row r="499" ht="16.5" customHeight="1">
      <c r="F499" s="1"/>
    </row>
    <row r="500" ht="16.5" customHeight="1">
      <c r="F500" s="1"/>
    </row>
    <row r="501" ht="16.5" customHeight="1">
      <c r="F501" s="1"/>
    </row>
    <row r="502" ht="16.5" customHeight="1">
      <c r="F502" s="1"/>
    </row>
    <row r="503" ht="16.5" customHeight="1">
      <c r="F503" s="1"/>
    </row>
    <row r="504" ht="16.5" customHeight="1">
      <c r="F504" s="1"/>
    </row>
    <row r="505" ht="16.5" customHeight="1">
      <c r="F505" s="1"/>
    </row>
    <row r="506" ht="16.5" customHeight="1">
      <c r="F506" s="1"/>
    </row>
    <row r="507" ht="16.5" customHeight="1">
      <c r="F507" s="1"/>
    </row>
    <row r="508" ht="16.5" customHeight="1">
      <c r="F508" s="1"/>
    </row>
    <row r="509" ht="16.5" customHeight="1">
      <c r="F509" s="1"/>
    </row>
    <row r="510" ht="16.5" customHeight="1">
      <c r="F510" s="1"/>
    </row>
    <row r="511" ht="16.5" customHeight="1">
      <c r="F511" s="1"/>
    </row>
    <row r="512" ht="16.5" customHeight="1">
      <c r="F512" s="1"/>
    </row>
    <row r="513" ht="16.5" customHeight="1">
      <c r="F513" s="1"/>
    </row>
    <row r="514" ht="16.5" customHeight="1">
      <c r="F514" s="1"/>
    </row>
    <row r="515" ht="16.5" customHeight="1">
      <c r="F515" s="1"/>
    </row>
    <row r="516" ht="16.5" customHeight="1">
      <c r="F516" s="1"/>
    </row>
    <row r="517" ht="16.5" customHeight="1">
      <c r="F517" s="1"/>
    </row>
    <row r="518" ht="16.5" customHeight="1">
      <c r="F518" s="1"/>
    </row>
    <row r="519" ht="16.5" customHeight="1">
      <c r="F519" s="1"/>
    </row>
    <row r="520" ht="16.5" customHeight="1">
      <c r="F520" s="1"/>
    </row>
    <row r="521" ht="16.5" customHeight="1">
      <c r="F521" s="1"/>
    </row>
    <row r="522" ht="16.5" customHeight="1">
      <c r="F522" s="1"/>
    </row>
    <row r="523" ht="16.5" customHeight="1">
      <c r="F523" s="1"/>
    </row>
    <row r="524" ht="16.5" customHeight="1">
      <c r="F524" s="1"/>
    </row>
    <row r="525" ht="16.5" customHeight="1">
      <c r="F525" s="1"/>
    </row>
    <row r="526" ht="16.5" customHeight="1">
      <c r="F526" s="1"/>
    </row>
    <row r="527" ht="16.5" customHeight="1">
      <c r="F527" s="1"/>
    </row>
    <row r="528" ht="16.5" customHeight="1">
      <c r="F528" s="1"/>
    </row>
    <row r="529" ht="16.5" customHeight="1">
      <c r="F529" s="1"/>
    </row>
    <row r="530" ht="16.5" customHeight="1">
      <c r="F530" s="1"/>
    </row>
    <row r="531" ht="16.5" customHeight="1">
      <c r="F531" s="1"/>
    </row>
    <row r="532" ht="16.5" customHeight="1">
      <c r="F532" s="1"/>
    </row>
    <row r="533" ht="16.5" customHeight="1">
      <c r="F533" s="1"/>
    </row>
    <row r="534" ht="16.5" customHeight="1">
      <c r="F534" s="1"/>
    </row>
    <row r="535" ht="16.5" customHeight="1">
      <c r="F535" s="1"/>
    </row>
    <row r="536" ht="16.5" customHeight="1">
      <c r="F536" s="1"/>
    </row>
    <row r="537" ht="16.5" customHeight="1">
      <c r="F537" s="1"/>
    </row>
    <row r="538" ht="16.5" customHeight="1">
      <c r="F538" s="1"/>
    </row>
    <row r="539" ht="16.5" customHeight="1">
      <c r="F539" s="1"/>
    </row>
    <row r="540" ht="16.5" customHeight="1">
      <c r="F540" s="1"/>
    </row>
    <row r="541" ht="16.5" customHeight="1">
      <c r="F541" s="1"/>
    </row>
    <row r="542" ht="16.5" customHeight="1">
      <c r="F542" s="1"/>
    </row>
    <row r="543" ht="16.5" customHeight="1">
      <c r="F543" s="1"/>
    </row>
    <row r="544" ht="16.5" customHeight="1">
      <c r="F544" s="1"/>
    </row>
    <row r="545" ht="16.5" customHeight="1">
      <c r="F545" s="1"/>
    </row>
    <row r="546" ht="16.5" customHeight="1">
      <c r="F546" s="1"/>
    </row>
    <row r="547" ht="16.5" customHeight="1">
      <c r="F547" s="1"/>
    </row>
    <row r="548" ht="16.5" customHeight="1">
      <c r="F548" s="1"/>
    </row>
    <row r="549" ht="16.5" customHeight="1">
      <c r="F549" s="1"/>
    </row>
    <row r="550" ht="16.5" customHeight="1">
      <c r="F550" s="1"/>
    </row>
    <row r="551" ht="16.5" customHeight="1">
      <c r="F551" s="1"/>
    </row>
    <row r="552" ht="16.5" customHeight="1">
      <c r="F552" s="1"/>
    </row>
    <row r="553" ht="16.5" customHeight="1">
      <c r="F553" s="1"/>
    </row>
    <row r="554" ht="16.5" customHeight="1">
      <c r="F554" s="1"/>
    </row>
    <row r="555" ht="16.5" customHeight="1">
      <c r="F555" s="1"/>
    </row>
    <row r="556" ht="16.5" customHeight="1">
      <c r="F556" s="1"/>
    </row>
    <row r="557" ht="16.5" customHeight="1">
      <c r="F557" s="1"/>
    </row>
    <row r="558" ht="16.5" customHeight="1">
      <c r="F558" s="1"/>
    </row>
    <row r="559" ht="16.5" customHeight="1">
      <c r="F559" s="1"/>
    </row>
    <row r="560" ht="16.5" customHeight="1">
      <c r="F560" s="1"/>
    </row>
    <row r="561" ht="16.5" customHeight="1">
      <c r="F561" s="1"/>
    </row>
    <row r="562" ht="16.5" customHeight="1">
      <c r="F562" s="1"/>
    </row>
    <row r="563" ht="16.5" customHeight="1">
      <c r="F563" s="1"/>
    </row>
    <row r="564" ht="16.5" customHeight="1">
      <c r="F564" s="1"/>
    </row>
    <row r="565" ht="16.5" customHeight="1">
      <c r="F565" s="1"/>
    </row>
    <row r="566" ht="16.5" customHeight="1">
      <c r="F566" s="1"/>
    </row>
    <row r="567" ht="16.5" customHeight="1">
      <c r="F567" s="1"/>
    </row>
    <row r="568" ht="16.5" customHeight="1">
      <c r="F568" s="1"/>
    </row>
    <row r="569" ht="16.5" customHeight="1">
      <c r="F569" s="1"/>
    </row>
    <row r="570" ht="16.5" customHeight="1">
      <c r="F570" s="1"/>
    </row>
    <row r="571" ht="16.5" customHeight="1">
      <c r="F571" s="1"/>
    </row>
    <row r="572" ht="16.5" customHeight="1">
      <c r="F572" s="1"/>
    </row>
    <row r="573" ht="16.5" customHeight="1">
      <c r="F573" s="1"/>
    </row>
    <row r="574" ht="16.5" customHeight="1">
      <c r="F574" s="1"/>
    </row>
    <row r="575" ht="16.5" customHeight="1">
      <c r="F575" s="1"/>
    </row>
    <row r="576" ht="16.5" customHeight="1">
      <c r="F576" s="1"/>
    </row>
    <row r="577" ht="16.5" customHeight="1">
      <c r="F577" s="1"/>
    </row>
    <row r="578" ht="16.5" customHeight="1">
      <c r="F578" s="1"/>
    </row>
    <row r="579" ht="16.5" customHeight="1">
      <c r="F579" s="1"/>
    </row>
    <row r="580" ht="16.5" customHeight="1">
      <c r="F580" s="1"/>
    </row>
    <row r="581" ht="16.5" customHeight="1">
      <c r="F581" s="1"/>
    </row>
    <row r="582" ht="16.5" customHeight="1">
      <c r="F582" s="1"/>
    </row>
    <row r="583" ht="16.5" customHeight="1">
      <c r="F583" s="1"/>
    </row>
    <row r="584" ht="16.5" customHeight="1">
      <c r="F584" s="1"/>
    </row>
    <row r="585" ht="16.5" customHeight="1">
      <c r="F585" s="1"/>
    </row>
    <row r="586" ht="16.5" customHeight="1">
      <c r="F586" s="1"/>
    </row>
    <row r="587" ht="16.5" customHeight="1">
      <c r="F587" s="1"/>
    </row>
    <row r="588" ht="16.5" customHeight="1">
      <c r="F588" s="1"/>
    </row>
    <row r="589" ht="16.5" customHeight="1">
      <c r="F589" s="1"/>
    </row>
    <row r="590" ht="16.5" customHeight="1">
      <c r="F590" s="1"/>
    </row>
    <row r="591" ht="16.5" customHeight="1">
      <c r="F591" s="1"/>
    </row>
    <row r="592" ht="16.5" customHeight="1">
      <c r="F592" s="1"/>
    </row>
    <row r="593" ht="16.5" customHeight="1">
      <c r="F593" s="1"/>
    </row>
    <row r="594" ht="16.5" customHeight="1">
      <c r="F594" s="1"/>
    </row>
    <row r="595" ht="16.5" customHeight="1">
      <c r="F595" s="1"/>
    </row>
    <row r="596" ht="16.5" customHeight="1">
      <c r="F596" s="1"/>
    </row>
    <row r="597" ht="16.5" customHeight="1">
      <c r="F597" s="1"/>
    </row>
    <row r="598" ht="16.5" customHeight="1">
      <c r="F598" s="1"/>
    </row>
    <row r="599" ht="16.5" customHeight="1">
      <c r="F599" s="1"/>
    </row>
    <row r="600" ht="16.5" customHeight="1">
      <c r="F600" s="1"/>
    </row>
    <row r="601" ht="16.5" customHeight="1">
      <c r="F601" s="1"/>
    </row>
    <row r="602" ht="16.5" customHeight="1">
      <c r="F602" s="1"/>
    </row>
    <row r="603" ht="16.5" customHeight="1">
      <c r="F603" s="1"/>
    </row>
    <row r="604" ht="16.5" customHeight="1">
      <c r="F604" s="1"/>
    </row>
    <row r="605" ht="16.5" customHeight="1">
      <c r="F605" s="1"/>
    </row>
    <row r="606" ht="16.5" customHeight="1">
      <c r="F606" s="1"/>
    </row>
    <row r="607" ht="16.5" customHeight="1">
      <c r="F607" s="1"/>
    </row>
    <row r="608" ht="16.5" customHeight="1">
      <c r="F608" s="1"/>
    </row>
    <row r="609" ht="16.5" customHeight="1">
      <c r="F609" s="1"/>
    </row>
    <row r="610" ht="16.5" customHeight="1">
      <c r="F610" s="1"/>
    </row>
    <row r="611" ht="16.5" customHeight="1">
      <c r="F611" s="1"/>
    </row>
    <row r="612" ht="16.5" customHeight="1">
      <c r="F612" s="1"/>
    </row>
    <row r="613" ht="16.5" customHeight="1">
      <c r="F613" s="1"/>
    </row>
    <row r="614" ht="16.5" customHeight="1">
      <c r="F614" s="1"/>
    </row>
    <row r="615" ht="16.5" customHeight="1">
      <c r="F615" s="1"/>
    </row>
    <row r="616" ht="16.5" customHeight="1">
      <c r="F616" s="1"/>
    </row>
    <row r="617" ht="16.5" customHeight="1">
      <c r="F617" s="1"/>
    </row>
    <row r="618" ht="16.5" customHeight="1">
      <c r="F618" s="1"/>
    </row>
    <row r="619" ht="16.5" customHeight="1">
      <c r="F619" s="1"/>
    </row>
    <row r="620" ht="16.5" customHeight="1">
      <c r="F620" s="1"/>
    </row>
    <row r="621" ht="16.5" customHeight="1">
      <c r="F621" s="1"/>
    </row>
    <row r="622" ht="16.5" customHeight="1">
      <c r="F622" s="1"/>
    </row>
    <row r="623" ht="16.5" customHeight="1">
      <c r="F623" s="1"/>
    </row>
    <row r="624" ht="16.5" customHeight="1">
      <c r="F624" s="1"/>
    </row>
    <row r="625" ht="16.5" customHeight="1">
      <c r="F625" s="1"/>
    </row>
    <row r="626" ht="16.5" customHeight="1">
      <c r="F626" s="1"/>
    </row>
    <row r="627" ht="16.5" customHeight="1">
      <c r="F627" s="1"/>
    </row>
    <row r="628" ht="16.5" customHeight="1">
      <c r="F628" s="1"/>
    </row>
    <row r="629" ht="16.5" customHeight="1">
      <c r="F629" s="1"/>
    </row>
    <row r="630" ht="16.5" customHeight="1">
      <c r="F630" s="1"/>
    </row>
    <row r="631" ht="16.5" customHeight="1">
      <c r="F631" s="1"/>
    </row>
    <row r="632" ht="16.5" customHeight="1">
      <c r="F632" s="1"/>
    </row>
    <row r="633" ht="16.5" customHeight="1">
      <c r="F633" s="1"/>
    </row>
    <row r="634" ht="16.5" customHeight="1">
      <c r="F634" s="1"/>
    </row>
    <row r="635" ht="16.5" customHeight="1">
      <c r="F635" s="1"/>
    </row>
    <row r="636" ht="16.5" customHeight="1">
      <c r="F636" s="1"/>
    </row>
    <row r="637" ht="16.5" customHeight="1">
      <c r="F637" s="1"/>
    </row>
    <row r="638" ht="16.5" customHeight="1">
      <c r="F638" s="1"/>
    </row>
    <row r="639" ht="16.5" customHeight="1">
      <c r="F639" s="1"/>
    </row>
    <row r="640" ht="16.5" customHeight="1">
      <c r="F640" s="1"/>
    </row>
    <row r="641" ht="16.5" customHeight="1">
      <c r="F641" s="1"/>
    </row>
    <row r="642" ht="16.5" customHeight="1">
      <c r="F642" s="1"/>
    </row>
    <row r="643" ht="16.5" customHeight="1">
      <c r="F643" s="1"/>
    </row>
    <row r="644" ht="16.5" customHeight="1">
      <c r="F644" s="1"/>
    </row>
    <row r="645" ht="16.5" customHeight="1">
      <c r="F645" s="1"/>
    </row>
    <row r="646" ht="16.5" customHeight="1">
      <c r="F646" s="1"/>
    </row>
    <row r="647" ht="16.5" customHeight="1">
      <c r="F647" s="1"/>
    </row>
    <row r="648" ht="16.5" customHeight="1">
      <c r="F648" s="1"/>
    </row>
    <row r="649" ht="16.5" customHeight="1">
      <c r="F649" s="1"/>
    </row>
    <row r="650" ht="16.5" customHeight="1">
      <c r="F650" s="1"/>
    </row>
    <row r="651" ht="16.5" customHeight="1">
      <c r="F651" s="1"/>
    </row>
    <row r="652" ht="16.5" customHeight="1">
      <c r="F652" s="1"/>
    </row>
    <row r="653" ht="16.5" customHeight="1">
      <c r="F653" s="1"/>
    </row>
    <row r="654" ht="16.5" customHeight="1">
      <c r="F654" s="1"/>
    </row>
    <row r="655" ht="16.5" customHeight="1">
      <c r="F655" s="1"/>
    </row>
    <row r="656" ht="16.5" customHeight="1">
      <c r="F656" s="1"/>
    </row>
    <row r="657" ht="16.5" customHeight="1">
      <c r="F657" s="1"/>
    </row>
    <row r="658" ht="16.5" customHeight="1">
      <c r="F658" s="1"/>
    </row>
    <row r="659" ht="16.5" customHeight="1">
      <c r="F659" s="1"/>
    </row>
    <row r="660" ht="16.5" customHeight="1">
      <c r="F660" s="1"/>
    </row>
    <row r="661" ht="16.5" customHeight="1">
      <c r="F661" s="1"/>
    </row>
    <row r="662" ht="16.5" customHeight="1">
      <c r="F662" s="1"/>
    </row>
    <row r="663" ht="16.5" customHeight="1">
      <c r="F663" s="1"/>
    </row>
    <row r="664" ht="16.5" customHeight="1">
      <c r="F664" s="1"/>
    </row>
    <row r="665" ht="16.5" customHeight="1">
      <c r="F665" s="1"/>
    </row>
    <row r="666" ht="16.5" customHeight="1">
      <c r="F666" s="1"/>
    </row>
    <row r="667" ht="16.5" customHeight="1">
      <c r="F667" s="1"/>
    </row>
    <row r="668" ht="16.5" customHeight="1">
      <c r="F668" s="1"/>
    </row>
    <row r="669" ht="16.5" customHeight="1">
      <c r="F669" s="1"/>
    </row>
    <row r="670" ht="16.5" customHeight="1">
      <c r="F670" s="1"/>
    </row>
    <row r="671" ht="16.5" customHeight="1">
      <c r="F671" s="1"/>
    </row>
    <row r="672" ht="16.5" customHeight="1">
      <c r="F672" s="1"/>
    </row>
    <row r="673" ht="16.5" customHeight="1">
      <c r="F673" s="1"/>
    </row>
    <row r="674" ht="16.5" customHeight="1">
      <c r="F674" s="1"/>
    </row>
    <row r="675" ht="16.5" customHeight="1">
      <c r="F675" s="1"/>
    </row>
    <row r="676" ht="16.5" customHeight="1">
      <c r="F676" s="1"/>
    </row>
    <row r="677" ht="16.5" customHeight="1">
      <c r="F677" s="1"/>
    </row>
    <row r="678" ht="16.5" customHeight="1">
      <c r="F678" s="1"/>
    </row>
    <row r="679" ht="16.5" customHeight="1">
      <c r="F679" s="1"/>
    </row>
    <row r="680" ht="16.5" customHeight="1">
      <c r="F680" s="1"/>
    </row>
    <row r="681" ht="16.5" customHeight="1">
      <c r="F681" s="1"/>
    </row>
    <row r="682" ht="16.5" customHeight="1">
      <c r="F682" s="1"/>
    </row>
    <row r="683" ht="16.5" customHeight="1">
      <c r="F683" s="1"/>
    </row>
    <row r="684" ht="16.5" customHeight="1">
      <c r="F684" s="1"/>
    </row>
    <row r="685" ht="16.5" customHeight="1">
      <c r="F685" s="1"/>
    </row>
    <row r="686" ht="16.5" customHeight="1">
      <c r="F686" s="1"/>
    </row>
    <row r="687" ht="16.5" customHeight="1">
      <c r="F687" s="1"/>
    </row>
    <row r="688" ht="16.5" customHeight="1">
      <c r="F688" s="1"/>
    </row>
    <row r="689" ht="16.5" customHeight="1">
      <c r="F689" s="1"/>
    </row>
    <row r="690" ht="16.5" customHeight="1">
      <c r="F690" s="1"/>
    </row>
    <row r="691" ht="16.5" customHeight="1">
      <c r="F691" s="1"/>
    </row>
    <row r="692" ht="16.5" customHeight="1">
      <c r="F692" s="1"/>
    </row>
    <row r="693" ht="16.5" customHeight="1">
      <c r="F693" s="1"/>
    </row>
    <row r="694" ht="16.5" customHeight="1">
      <c r="F694" s="1"/>
    </row>
    <row r="695" ht="16.5" customHeight="1">
      <c r="F695" s="1"/>
    </row>
    <row r="696" ht="16.5" customHeight="1">
      <c r="F696" s="1"/>
    </row>
    <row r="697" ht="16.5" customHeight="1">
      <c r="F697" s="1"/>
    </row>
    <row r="698" ht="16.5" customHeight="1">
      <c r="F698" s="1"/>
    </row>
    <row r="699" ht="16.5" customHeight="1">
      <c r="F699" s="1"/>
    </row>
    <row r="700" ht="16.5" customHeight="1">
      <c r="F700" s="1"/>
    </row>
    <row r="701" ht="16.5" customHeight="1">
      <c r="F701" s="1"/>
    </row>
    <row r="702" ht="16.5" customHeight="1">
      <c r="F702" s="1"/>
    </row>
    <row r="703" ht="16.5" customHeight="1">
      <c r="F703" s="1"/>
    </row>
    <row r="704" ht="16.5" customHeight="1">
      <c r="F704" s="1"/>
    </row>
    <row r="705" ht="16.5" customHeight="1">
      <c r="F705" s="1"/>
    </row>
    <row r="706" ht="16.5" customHeight="1">
      <c r="F706" s="1"/>
    </row>
    <row r="707" ht="16.5" customHeight="1">
      <c r="F707" s="1"/>
    </row>
    <row r="708" ht="16.5" customHeight="1">
      <c r="F708" s="1"/>
    </row>
    <row r="709" ht="16.5" customHeight="1">
      <c r="F709" s="1"/>
    </row>
    <row r="710" ht="16.5" customHeight="1">
      <c r="F710" s="1"/>
    </row>
    <row r="711" ht="16.5" customHeight="1">
      <c r="F711" s="1"/>
    </row>
    <row r="712" ht="16.5" customHeight="1">
      <c r="F712" s="1"/>
    </row>
    <row r="713" ht="16.5" customHeight="1">
      <c r="F713" s="1"/>
    </row>
    <row r="714" ht="16.5" customHeight="1">
      <c r="F714" s="1"/>
    </row>
    <row r="715" ht="16.5" customHeight="1">
      <c r="F715" s="1"/>
    </row>
    <row r="716" ht="16.5" customHeight="1">
      <c r="F716" s="1"/>
    </row>
    <row r="717" ht="16.5" customHeight="1">
      <c r="F717" s="1"/>
    </row>
    <row r="718" ht="16.5" customHeight="1">
      <c r="F718" s="1"/>
    </row>
    <row r="719" ht="16.5" customHeight="1">
      <c r="F719" s="1"/>
    </row>
    <row r="720" ht="16.5" customHeight="1">
      <c r="F720" s="1"/>
    </row>
    <row r="721" ht="16.5" customHeight="1">
      <c r="F721" s="1"/>
    </row>
    <row r="722" ht="16.5" customHeight="1">
      <c r="F722" s="1"/>
    </row>
    <row r="723" ht="16.5" customHeight="1">
      <c r="F723" s="1"/>
    </row>
    <row r="724" ht="16.5" customHeight="1">
      <c r="F724" s="1"/>
    </row>
    <row r="725" ht="16.5" customHeight="1">
      <c r="F725" s="1"/>
    </row>
    <row r="726" ht="16.5" customHeight="1">
      <c r="F726" s="1"/>
    </row>
    <row r="727" ht="16.5" customHeight="1">
      <c r="F727" s="1"/>
    </row>
    <row r="728" ht="16.5" customHeight="1">
      <c r="F728" s="1"/>
    </row>
    <row r="729" ht="16.5" customHeight="1">
      <c r="F729" s="1"/>
    </row>
    <row r="730" ht="16.5" customHeight="1">
      <c r="F730" s="1"/>
    </row>
    <row r="731" ht="16.5" customHeight="1">
      <c r="F731" s="1"/>
    </row>
    <row r="732" ht="16.5" customHeight="1">
      <c r="F732" s="1"/>
    </row>
    <row r="733" ht="16.5" customHeight="1">
      <c r="F733" s="1"/>
    </row>
    <row r="734" ht="16.5" customHeight="1">
      <c r="F734" s="1"/>
    </row>
    <row r="735" ht="16.5" customHeight="1">
      <c r="F735" s="1"/>
    </row>
    <row r="736" ht="16.5" customHeight="1">
      <c r="F736" s="1"/>
    </row>
    <row r="737" ht="16.5" customHeight="1">
      <c r="F737" s="1"/>
    </row>
    <row r="738" ht="16.5" customHeight="1">
      <c r="F738" s="1"/>
    </row>
    <row r="739" ht="16.5" customHeight="1">
      <c r="F739" s="1"/>
    </row>
    <row r="740" ht="16.5" customHeight="1">
      <c r="F740" s="1"/>
    </row>
    <row r="741" ht="16.5" customHeight="1">
      <c r="F741" s="1"/>
    </row>
    <row r="742" ht="16.5" customHeight="1">
      <c r="F742" s="1"/>
    </row>
    <row r="743" ht="16.5" customHeight="1">
      <c r="F743" s="1"/>
    </row>
    <row r="744" ht="16.5" customHeight="1">
      <c r="F744" s="1"/>
    </row>
    <row r="745" ht="16.5" customHeight="1">
      <c r="F745" s="1"/>
    </row>
    <row r="746" ht="16.5" customHeight="1">
      <c r="F746" s="1"/>
    </row>
    <row r="747" ht="16.5" customHeight="1">
      <c r="F747" s="1"/>
    </row>
    <row r="748" ht="16.5" customHeight="1">
      <c r="F748" s="1"/>
    </row>
    <row r="749" ht="16.5" customHeight="1">
      <c r="F749" s="1"/>
    </row>
    <row r="750" ht="16.5" customHeight="1">
      <c r="F750" s="1"/>
    </row>
    <row r="751" ht="16.5" customHeight="1">
      <c r="F751" s="1"/>
    </row>
    <row r="752" ht="16.5" customHeight="1">
      <c r="F752" s="1"/>
    </row>
    <row r="753" ht="16.5" customHeight="1">
      <c r="F753" s="1"/>
    </row>
    <row r="754" ht="16.5" customHeight="1">
      <c r="F754" s="1"/>
    </row>
    <row r="755" ht="16.5" customHeight="1">
      <c r="F755" s="1"/>
    </row>
    <row r="756" ht="16.5" customHeight="1">
      <c r="F756" s="1"/>
    </row>
    <row r="757" ht="16.5" customHeight="1">
      <c r="F757" s="1"/>
    </row>
    <row r="758" ht="16.5" customHeight="1">
      <c r="F758" s="1"/>
    </row>
    <row r="759" ht="16.5" customHeight="1">
      <c r="F759" s="1"/>
    </row>
    <row r="760" ht="16.5" customHeight="1">
      <c r="F760" s="1"/>
    </row>
    <row r="761" ht="16.5" customHeight="1">
      <c r="F761" s="1"/>
    </row>
    <row r="762" ht="16.5" customHeight="1">
      <c r="F762" s="1"/>
    </row>
    <row r="763" ht="16.5" customHeight="1">
      <c r="F763" s="1"/>
    </row>
    <row r="764" ht="16.5" customHeight="1">
      <c r="F764" s="1"/>
    </row>
    <row r="765" ht="16.5" customHeight="1">
      <c r="F765" s="1"/>
    </row>
    <row r="766" ht="16.5" customHeight="1">
      <c r="F766" s="1"/>
    </row>
    <row r="767" ht="16.5" customHeight="1">
      <c r="F767" s="1"/>
    </row>
    <row r="768" ht="16.5" customHeight="1">
      <c r="F768" s="1"/>
    </row>
    <row r="769" ht="16.5" customHeight="1">
      <c r="F769" s="1"/>
    </row>
    <row r="770" ht="16.5" customHeight="1">
      <c r="F770" s="1"/>
    </row>
    <row r="771" ht="16.5" customHeight="1">
      <c r="F771" s="1"/>
    </row>
    <row r="772" ht="16.5" customHeight="1">
      <c r="F772" s="1"/>
    </row>
    <row r="773" ht="16.5" customHeight="1">
      <c r="F773" s="1"/>
    </row>
    <row r="774" ht="16.5" customHeight="1">
      <c r="F774" s="1"/>
    </row>
    <row r="775" ht="16.5" customHeight="1">
      <c r="F775" s="1"/>
    </row>
    <row r="776" ht="16.5" customHeight="1">
      <c r="F776" s="1"/>
    </row>
    <row r="777" ht="16.5" customHeight="1">
      <c r="F777" s="1"/>
    </row>
    <row r="778" ht="16.5" customHeight="1">
      <c r="F778" s="1"/>
    </row>
    <row r="779" ht="16.5" customHeight="1">
      <c r="F779" s="1"/>
    </row>
    <row r="780" ht="16.5" customHeight="1">
      <c r="F780" s="1"/>
    </row>
    <row r="781" ht="16.5" customHeight="1">
      <c r="F781" s="1"/>
    </row>
    <row r="782" ht="16.5" customHeight="1">
      <c r="F782" s="1"/>
    </row>
    <row r="783" ht="16.5" customHeight="1">
      <c r="F783" s="1"/>
    </row>
    <row r="784" ht="16.5" customHeight="1">
      <c r="F784" s="1"/>
    </row>
    <row r="785" ht="16.5" customHeight="1">
      <c r="F785" s="1"/>
    </row>
    <row r="786" ht="16.5" customHeight="1">
      <c r="F786" s="1"/>
    </row>
    <row r="787" ht="16.5" customHeight="1">
      <c r="F787" s="1"/>
    </row>
    <row r="788" ht="16.5" customHeight="1">
      <c r="F788" s="1"/>
    </row>
    <row r="789" ht="16.5" customHeight="1">
      <c r="F789" s="1"/>
    </row>
    <row r="790" ht="16.5" customHeight="1">
      <c r="F790" s="1"/>
    </row>
    <row r="791" ht="16.5" customHeight="1">
      <c r="F791" s="1"/>
    </row>
    <row r="792" ht="16.5" customHeight="1">
      <c r="F792" s="1"/>
    </row>
    <row r="793" ht="16.5" customHeight="1">
      <c r="F793" s="1"/>
    </row>
    <row r="794" ht="16.5" customHeight="1">
      <c r="F794" s="1"/>
    </row>
    <row r="795" ht="16.5" customHeight="1">
      <c r="F795" s="1"/>
    </row>
    <row r="796" ht="16.5" customHeight="1">
      <c r="F796" s="1"/>
    </row>
    <row r="797" ht="16.5" customHeight="1">
      <c r="F797" s="1"/>
    </row>
    <row r="798" ht="16.5" customHeight="1">
      <c r="F798" s="1"/>
    </row>
    <row r="799" ht="16.5" customHeight="1">
      <c r="F799" s="1"/>
    </row>
    <row r="800" ht="16.5" customHeight="1">
      <c r="F800" s="1"/>
    </row>
    <row r="801" ht="16.5" customHeight="1">
      <c r="F801" s="1"/>
    </row>
    <row r="802" ht="16.5" customHeight="1">
      <c r="F802" s="1"/>
    </row>
    <row r="803" ht="16.5" customHeight="1">
      <c r="F803" s="1"/>
    </row>
    <row r="804" ht="16.5" customHeight="1">
      <c r="F804" s="1"/>
    </row>
    <row r="805" ht="16.5" customHeight="1">
      <c r="F805" s="1"/>
    </row>
    <row r="806" ht="16.5" customHeight="1">
      <c r="F806" s="1"/>
    </row>
    <row r="807" ht="16.5" customHeight="1">
      <c r="F807" s="1"/>
    </row>
    <row r="808" ht="16.5" customHeight="1">
      <c r="F808" s="1"/>
    </row>
    <row r="809" ht="16.5" customHeight="1">
      <c r="F809" s="1"/>
    </row>
    <row r="810" ht="16.5" customHeight="1">
      <c r="F810" s="1"/>
    </row>
    <row r="811" ht="16.5" customHeight="1">
      <c r="F811" s="1"/>
    </row>
    <row r="812" ht="16.5" customHeight="1">
      <c r="F812" s="1"/>
    </row>
    <row r="813" ht="16.5" customHeight="1">
      <c r="F813" s="1"/>
    </row>
    <row r="814" ht="16.5" customHeight="1">
      <c r="F814" s="1"/>
    </row>
    <row r="815" ht="16.5" customHeight="1">
      <c r="F815" s="1"/>
    </row>
    <row r="816" ht="16.5" customHeight="1">
      <c r="F816" s="1"/>
    </row>
    <row r="817" ht="16.5" customHeight="1">
      <c r="F817" s="1"/>
    </row>
    <row r="818" ht="16.5" customHeight="1">
      <c r="F818" s="1"/>
    </row>
    <row r="819" ht="16.5" customHeight="1">
      <c r="F819" s="1"/>
    </row>
    <row r="820" ht="16.5" customHeight="1">
      <c r="F820" s="1"/>
    </row>
    <row r="821" ht="16.5" customHeight="1">
      <c r="F821" s="1"/>
    </row>
    <row r="822" ht="16.5" customHeight="1">
      <c r="F822" s="1"/>
    </row>
    <row r="823" ht="16.5" customHeight="1">
      <c r="F823" s="1"/>
    </row>
    <row r="824" ht="16.5" customHeight="1">
      <c r="F824" s="1"/>
    </row>
    <row r="825" ht="16.5" customHeight="1">
      <c r="F825" s="1"/>
    </row>
    <row r="826" ht="16.5" customHeight="1">
      <c r="F826" s="1"/>
    </row>
    <row r="827" ht="16.5" customHeight="1">
      <c r="F827" s="1"/>
    </row>
    <row r="828" ht="16.5" customHeight="1">
      <c r="F828" s="1"/>
    </row>
    <row r="829" ht="16.5" customHeight="1">
      <c r="F829" s="1"/>
    </row>
    <row r="830" ht="16.5" customHeight="1">
      <c r="F830" s="1"/>
    </row>
    <row r="831" ht="16.5" customHeight="1">
      <c r="F831" s="1"/>
    </row>
    <row r="832" ht="16.5" customHeight="1">
      <c r="F832" s="1"/>
    </row>
    <row r="833" ht="16.5" customHeight="1">
      <c r="F833" s="1"/>
    </row>
    <row r="834" ht="16.5" customHeight="1">
      <c r="F834" s="1"/>
    </row>
    <row r="835" ht="16.5" customHeight="1">
      <c r="F835" s="1"/>
    </row>
    <row r="836" ht="16.5" customHeight="1">
      <c r="F836" s="1"/>
    </row>
    <row r="837" ht="16.5" customHeight="1">
      <c r="F837" s="1"/>
    </row>
    <row r="838" ht="16.5" customHeight="1">
      <c r="F838" s="1"/>
    </row>
    <row r="839" ht="16.5" customHeight="1">
      <c r="F839" s="1"/>
    </row>
    <row r="840" ht="16.5" customHeight="1">
      <c r="F840" s="1"/>
    </row>
    <row r="841" ht="16.5" customHeight="1">
      <c r="F841" s="1"/>
    </row>
    <row r="842" ht="16.5" customHeight="1">
      <c r="F842" s="1"/>
    </row>
    <row r="843" ht="16.5" customHeight="1">
      <c r="F843" s="1"/>
    </row>
    <row r="844" ht="16.5" customHeight="1">
      <c r="F844" s="1"/>
    </row>
    <row r="845" ht="16.5" customHeight="1">
      <c r="F845" s="1"/>
    </row>
    <row r="846" ht="16.5" customHeight="1">
      <c r="F846" s="1"/>
    </row>
    <row r="847" ht="16.5" customHeight="1">
      <c r="F847" s="1"/>
    </row>
    <row r="848" ht="16.5" customHeight="1">
      <c r="F848" s="1"/>
    </row>
    <row r="849" ht="16.5" customHeight="1">
      <c r="F849" s="1"/>
    </row>
    <row r="850" ht="16.5" customHeight="1">
      <c r="F850" s="1"/>
    </row>
    <row r="851" ht="16.5" customHeight="1">
      <c r="F851" s="1"/>
    </row>
    <row r="852" ht="16.5" customHeight="1">
      <c r="F852" s="1"/>
    </row>
    <row r="853" ht="16.5" customHeight="1">
      <c r="F853" s="1"/>
    </row>
    <row r="854" ht="16.5" customHeight="1">
      <c r="F854" s="1"/>
    </row>
    <row r="855" ht="16.5" customHeight="1">
      <c r="F855" s="1"/>
    </row>
    <row r="856" ht="16.5" customHeight="1">
      <c r="F856" s="1"/>
    </row>
    <row r="857" ht="16.5" customHeight="1">
      <c r="F857" s="1"/>
    </row>
    <row r="858" ht="16.5" customHeight="1">
      <c r="F858" s="1"/>
    </row>
    <row r="859" ht="16.5" customHeight="1">
      <c r="F859" s="1"/>
    </row>
    <row r="860" ht="16.5" customHeight="1">
      <c r="F860" s="1"/>
    </row>
    <row r="861" ht="16.5" customHeight="1">
      <c r="F861" s="1"/>
    </row>
    <row r="862" ht="16.5" customHeight="1">
      <c r="F862" s="1"/>
    </row>
    <row r="863" ht="16.5" customHeight="1">
      <c r="F863" s="1"/>
    </row>
    <row r="864" ht="16.5" customHeight="1">
      <c r="F864" s="1"/>
    </row>
    <row r="865" ht="16.5" customHeight="1">
      <c r="F865" s="1"/>
    </row>
    <row r="866" ht="16.5" customHeight="1">
      <c r="F866" s="1"/>
    </row>
    <row r="867" ht="16.5" customHeight="1">
      <c r="F867" s="1"/>
    </row>
    <row r="868" ht="16.5" customHeight="1">
      <c r="F868" s="1"/>
    </row>
    <row r="869" ht="16.5" customHeight="1">
      <c r="F869" s="1"/>
    </row>
    <row r="870" ht="16.5" customHeight="1">
      <c r="F870" s="1"/>
    </row>
    <row r="871" ht="16.5" customHeight="1">
      <c r="F871" s="1"/>
    </row>
    <row r="872" ht="16.5" customHeight="1">
      <c r="F872" s="1"/>
    </row>
    <row r="873" ht="16.5" customHeight="1">
      <c r="F873" s="1"/>
    </row>
    <row r="874" ht="16.5" customHeight="1">
      <c r="F874" s="1"/>
    </row>
    <row r="875" ht="16.5" customHeight="1">
      <c r="F875" s="1"/>
    </row>
    <row r="876" ht="16.5" customHeight="1">
      <c r="F876" s="1"/>
    </row>
    <row r="877" ht="16.5" customHeight="1">
      <c r="F877" s="1"/>
    </row>
    <row r="878" ht="16.5" customHeight="1">
      <c r="F878" s="1"/>
    </row>
    <row r="879" ht="16.5" customHeight="1">
      <c r="F879" s="1"/>
    </row>
    <row r="880" ht="16.5" customHeight="1">
      <c r="F880" s="1"/>
    </row>
    <row r="881" ht="16.5" customHeight="1">
      <c r="F881" s="1"/>
    </row>
    <row r="882" ht="16.5" customHeight="1">
      <c r="F882" s="1"/>
    </row>
    <row r="883" ht="16.5" customHeight="1">
      <c r="F883" s="1"/>
    </row>
    <row r="884" ht="16.5" customHeight="1">
      <c r="F884" s="1"/>
    </row>
    <row r="885" ht="16.5" customHeight="1">
      <c r="F885" s="1"/>
    </row>
    <row r="886" ht="16.5" customHeight="1">
      <c r="F886" s="1"/>
    </row>
    <row r="887" ht="16.5" customHeight="1">
      <c r="F887" s="1"/>
    </row>
    <row r="888" ht="16.5" customHeight="1">
      <c r="F888" s="1"/>
    </row>
    <row r="889" ht="16.5" customHeight="1">
      <c r="F889" s="1"/>
    </row>
    <row r="890" ht="16.5" customHeight="1">
      <c r="F890" s="1"/>
    </row>
    <row r="891" ht="16.5" customHeight="1">
      <c r="F891" s="1"/>
    </row>
    <row r="892" ht="16.5" customHeight="1">
      <c r="F892" s="1"/>
    </row>
    <row r="893" ht="16.5" customHeight="1">
      <c r="F893" s="1"/>
    </row>
    <row r="894" ht="16.5" customHeight="1">
      <c r="F894" s="1"/>
    </row>
    <row r="895" ht="16.5" customHeight="1">
      <c r="F895" s="1"/>
    </row>
    <row r="896" ht="16.5" customHeight="1">
      <c r="F896" s="1"/>
    </row>
    <row r="897" ht="16.5" customHeight="1">
      <c r="F897" s="1"/>
    </row>
    <row r="898" ht="16.5" customHeight="1">
      <c r="F898" s="1"/>
    </row>
    <row r="899" ht="16.5" customHeight="1">
      <c r="F899" s="1"/>
    </row>
    <row r="900" ht="16.5" customHeight="1">
      <c r="F900" s="1"/>
    </row>
    <row r="901" ht="16.5" customHeight="1">
      <c r="F901" s="1"/>
    </row>
    <row r="902" ht="16.5" customHeight="1">
      <c r="F902" s="1"/>
    </row>
    <row r="903" ht="16.5" customHeight="1">
      <c r="F903" s="1"/>
    </row>
    <row r="904" ht="16.5" customHeight="1">
      <c r="F904" s="1"/>
    </row>
    <row r="905" ht="16.5" customHeight="1">
      <c r="F905" s="1"/>
    </row>
    <row r="906" ht="16.5" customHeight="1">
      <c r="F906" s="1"/>
    </row>
    <row r="907" ht="16.5" customHeight="1">
      <c r="F907" s="1"/>
    </row>
    <row r="908" ht="16.5" customHeight="1">
      <c r="F908" s="1"/>
    </row>
    <row r="909" ht="16.5" customHeight="1">
      <c r="F909" s="1"/>
    </row>
    <row r="910" ht="16.5" customHeight="1">
      <c r="F910" s="1"/>
    </row>
    <row r="911" ht="16.5" customHeight="1">
      <c r="F911" s="1"/>
    </row>
    <row r="912" ht="16.5" customHeight="1">
      <c r="F912" s="1"/>
    </row>
    <row r="913" ht="16.5" customHeight="1">
      <c r="F913" s="1"/>
    </row>
    <row r="914" ht="16.5" customHeight="1">
      <c r="F914" s="1"/>
    </row>
    <row r="915" ht="16.5" customHeight="1">
      <c r="F915" s="1"/>
    </row>
    <row r="916" ht="16.5" customHeight="1">
      <c r="F916" s="1"/>
    </row>
    <row r="917" ht="16.5" customHeight="1">
      <c r="F917" s="1"/>
    </row>
    <row r="918" ht="16.5" customHeight="1">
      <c r="F918" s="1"/>
    </row>
    <row r="919" ht="16.5" customHeight="1">
      <c r="F919" s="1"/>
    </row>
    <row r="920" ht="16.5" customHeight="1">
      <c r="F920" s="1"/>
    </row>
    <row r="921" ht="16.5" customHeight="1">
      <c r="F921" s="1"/>
    </row>
    <row r="922" ht="16.5" customHeight="1">
      <c r="F922" s="1"/>
    </row>
    <row r="923" ht="16.5" customHeight="1">
      <c r="F923" s="1"/>
    </row>
    <row r="924" ht="16.5" customHeight="1">
      <c r="F924" s="1"/>
    </row>
    <row r="925" ht="16.5" customHeight="1">
      <c r="F925" s="1"/>
    </row>
    <row r="926" ht="16.5" customHeight="1">
      <c r="F926" s="1"/>
    </row>
    <row r="927" ht="16.5" customHeight="1">
      <c r="F927" s="1"/>
    </row>
    <row r="928" ht="16.5" customHeight="1">
      <c r="F928" s="1"/>
    </row>
    <row r="929" ht="16.5" customHeight="1">
      <c r="F929" s="1"/>
    </row>
    <row r="930" ht="16.5" customHeight="1">
      <c r="F930" s="1"/>
    </row>
    <row r="931" ht="16.5" customHeight="1">
      <c r="F931" s="1"/>
    </row>
    <row r="932" ht="16.5" customHeight="1">
      <c r="F932" s="1"/>
    </row>
    <row r="933" ht="16.5" customHeight="1">
      <c r="F933" s="1"/>
    </row>
    <row r="934" ht="16.5" customHeight="1">
      <c r="F934" s="1"/>
    </row>
    <row r="935" ht="16.5" customHeight="1">
      <c r="F935" s="1"/>
    </row>
    <row r="936" ht="16.5" customHeight="1">
      <c r="F936" s="1"/>
    </row>
    <row r="937" ht="16.5" customHeight="1">
      <c r="F937" s="1"/>
    </row>
    <row r="938" ht="16.5" customHeight="1">
      <c r="F938" s="1"/>
    </row>
    <row r="939" ht="16.5" customHeight="1">
      <c r="F939" s="1"/>
    </row>
    <row r="940" ht="16.5" customHeight="1">
      <c r="F940" s="1"/>
    </row>
    <row r="941" ht="16.5" customHeight="1">
      <c r="F941" s="1"/>
    </row>
    <row r="942" ht="16.5" customHeight="1">
      <c r="F942" s="1"/>
    </row>
    <row r="943" ht="16.5" customHeight="1">
      <c r="F943" s="1"/>
    </row>
    <row r="944" ht="16.5" customHeight="1">
      <c r="F944" s="1"/>
    </row>
    <row r="945" ht="16.5" customHeight="1">
      <c r="F945" s="1"/>
    </row>
    <row r="946" ht="16.5" customHeight="1">
      <c r="F946" s="1"/>
    </row>
    <row r="947" ht="16.5" customHeight="1">
      <c r="F947" s="1"/>
    </row>
    <row r="948" ht="16.5" customHeight="1">
      <c r="F948" s="1"/>
    </row>
    <row r="949" ht="16.5" customHeight="1">
      <c r="F949" s="1"/>
    </row>
    <row r="950" ht="16.5" customHeight="1">
      <c r="F950" s="1"/>
    </row>
    <row r="951" ht="16.5" customHeight="1">
      <c r="F951" s="1"/>
    </row>
    <row r="952" ht="16.5" customHeight="1">
      <c r="F952" s="1"/>
    </row>
    <row r="953" ht="16.5" customHeight="1">
      <c r="F953" s="1"/>
    </row>
    <row r="954" ht="16.5" customHeight="1">
      <c r="F954" s="1"/>
    </row>
    <row r="955" ht="16.5" customHeight="1">
      <c r="F955" s="1"/>
    </row>
    <row r="956" ht="16.5" customHeight="1">
      <c r="F956" s="1"/>
    </row>
    <row r="957" ht="16.5" customHeight="1">
      <c r="F957" s="1"/>
    </row>
    <row r="958" ht="16.5" customHeight="1">
      <c r="F958" s="1"/>
    </row>
    <row r="959" ht="16.5" customHeight="1">
      <c r="F959" s="1"/>
    </row>
    <row r="960" ht="16.5" customHeight="1">
      <c r="F960" s="1"/>
    </row>
    <row r="961" ht="16.5" customHeight="1">
      <c r="F961" s="1"/>
    </row>
    <row r="962" ht="16.5" customHeight="1">
      <c r="F962" s="1"/>
    </row>
    <row r="963" ht="16.5" customHeight="1">
      <c r="F963" s="1"/>
    </row>
    <row r="964" ht="16.5" customHeight="1">
      <c r="F964" s="1"/>
    </row>
    <row r="965" ht="16.5" customHeight="1">
      <c r="F965" s="1"/>
    </row>
    <row r="966" ht="16.5" customHeight="1">
      <c r="F966" s="1"/>
    </row>
    <row r="967" ht="16.5" customHeight="1">
      <c r="F967" s="1"/>
    </row>
    <row r="968" ht="16.5" customHeight="1">
      <c r="F968" s="1"/>
    </row>
    <row r="969" ht="16.5" customHeight="1">
      <c r="F969" s="1"/>
    </row>
    <row r="970" ht="16.5" customHeight="1">
      <c r="F970" s="1"/>
    </row>
    <row r="971" ht="16.5" customHeight="1">
      <c r="F971" s="1"/>
    </row>
    <row r="972" ht="16.5" customHeight="1">
      <c r="F972" s="1"/>
    </row>
    <row r="973" ht="16.5" customHeight="1">
      <c r="F973" s="1"/>
    </row>
    <row r="974" ht="16.5" customHeight="1">
      <c r="F974" s="1"/>
    </row>
    <row r="975" ht="16.5" customHeight="1">
      <c r="F975" s="1"/>
    </row>
    <row r="976" ht="16.5" customHeight="1">
      <c r="F976" s="1"/>
    </row>
    <row r="977" ht="16.5" customHeight="1">
      <c r="F977" s="1"/>
    </row>
    <row r="978" ht="16.5" customHeight="1">
      <c r="F978" s="1"/>
    </row>
    <row r="979" ht="16.5" customHeight="1">
      <c r="F979" s="1"/>
    </row>
    <row r="980" ht="16.5" customHeight="1">
      <c r="F980" s="1"/>
    </row>
    <row r="981" ht="16.5" customHeight="1">
      <c r="F981" s="1"/>
    </row>
    <row r="982" ht="16.5" customHeight="1">
      <c r="F982" s="1"/>
    </row>
    <row r="983" ht="16.5" customHeight="1">
      <c r="F983" s="1"/>
    </row>
    <row r="984" ht="16.5" customHeight="1">
      <c r="F984" s="1"/>
    </row>
    <row r="985" ht="16.5" customHeight="1">
      <c r="F985" s="1"/>
    </row>
    <row r="986" ht="16.5" customHeight="1">
      <c r="F986" s="1"/>
    </row>
    <row r="987" ht="16.5" customHeight="1">
      <c r="F987" s="1"/>
    </row>
    <row r="988" ht="16.5" customHeight="1">
      <c r="F988" s="1"/>
    </row>
    <row r="989" ht="16.5" customHeight="1">
      <c r="F989" s="1"/>
    </row>
    <row r="990" ht="16.5" customHeight="1">
      <c r="F990" s="1"/>
    </row>
    <row r="991" ht="16.5" customHeight="1">
      <c r="F991" s="1"/>
    </row>
    <row r="992" ht="16.5" customHeight="1">
      <c r="F992" s="1"/>
    </row>
    <row r="993" ht="16.5" customHeight="1">
      <c r="F993" s="1"/>
    </row>
    <row r="994" ht="16.5" customHeight="1">
      <c r="F994" s="1"/>
    </row>
    <row r="995" ht="16.5" customHeight="1">
      <c r="F995" s="1"/>
    </row>
    <row r="996" ht="16.5" customHeight="1">
      <c r="F996" s="1"/>
    </row>
    <row r="997" ht="16.5" customHeight="1">
      <c r="F997" s="1"/>
    </row>
    <row r="998" ht="16.5" customHeight="1">
      <c r="F998" s="1"/>
    </row>
    <row r="999" ht="16.5" customHeight="1">
      <c r="F999" s="1"/>
    </row>
    <row r="1000" ht="16.5" customHeight="1">
      <c r="F1000" s="1"/>
    </row>
  </sheetData>
  <mergeCells count="54">
    <mergeCell ref="C35:C38"/>
    <mergeCell ref="B39:C39"/>
    <mergeCell ref="C40:C43"/>
    <mergeCell ref="D40:D43"/>
    <mergeCell ref="E40:E43"/>
    <mergeCell ref="C44:C47"/>
    <mergeCell ref="B48:C48"/>
    <mergeCell ref="C49:C52"/>
    <mergeCell ref="D49:D52"/>
    <mergeCell ref="E49:E52"/>
    <mergeCell ref="C53:C56"/>
    <mergeCell ref="D53:D56"/>
    <mergeCell ref="E53:E56"/>
    <mergeCell ref="B57:C57"/>
    <mergeCell ref="D13:D16"/>
    <mergeCell ref="E13:E16"/>
    <mergeCell ref="D18:D21"/>
    <mergeCell ref="E18:E21"/>
    <mergeCell ref="D22:D25"/>
    <mergeCell ref="E22:E25"/>
    <mergeCell ref="D27:D30"/>
    <mergeCell ref="E27:E30"/>
    <mergeCell ref="B2:G2"/>
    <mergeCell ref="C4:E4"/>
    <mergeCell ref="C5:E5"/>
    <mergeCell ref="B6:G6"/>
    <mergeCell ref="B9:B16"/>
    <mergeCell ref="D9:D12"/>
    <mergeCell ref="E9:E12"/>
    <mergeCell ref="B17:C17"/>
    <mergeCell ref="C27:C30"/>
    <mergeCell ref="C31:C34"/>
    <mergeCell ref="D31:D34"/>
    <mergeCell ref="E31:E34"/>
    <mergeCell ref="D35:D38"/>
    <mergeCell ref="E35:E38"/>
    <mergeCell ref="C9:C12"/>
    <mergeCell ref="C13:C16"/>
    <mergeCell ref="B18:B25"/>
    <mergeCell ref="C18:C21"/>
    <mergeCell ref="C22:C25"/>
    <mergeCell ref="B26:C26"/>
    <mergeCell ref="B27:B38"/>
    <mergeCell ref="D44:D47"/>
    <mergeCell ref="E44:E47"/>
    <mergeCell ref="B40:B47"/>
    <mergeCell ref="B49:B56"/>
    <mergeCell ref="B58:B61"/>
    <mergeCell ref="C58:C61"/>
    <mergeCell ref="D58:D61"/>
    <mergeCell ref="E58:E61"/>
    <mergeCell ref="B62:C62"/>
    <mergeCell ref="B63:C64"/>
    <mergeCell ref="D64:E64"/>
  </mergeCells>
  <dataValidations>
    <dataValidation type="decimal" allowBlank="1" showErrorMessage="1" sqref="D9 D13 D18 D22">
      <formula1>1.0</formula1>
      <formula2>4.0</formula2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2023-05-30T01:40:14Z</dcterms:created>
  <dc:creator>koica</dc:creator>
</cp:coreProperties>
</file>