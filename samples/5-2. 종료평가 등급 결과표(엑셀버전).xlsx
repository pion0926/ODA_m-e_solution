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0109\Desktop\GL, 길라잡이 최종\최종\2-1. 길라잡이 표준양식\"/>
    </mc:Choice>
  </mc:AlternateContent>
  <xr:revisionPtr revIDLastSave="0" documentId="13_ncr:1_{DA72EEFA-B052-436F-AFE3-F78F891D6AF9}" xr6:coauthVersionLast="37" xr6:coauthVersionMax="37" xr10:uidLastSave="{00000000-0000-0000-0000-000000000000}"/>
  <bookViews>
    <workbookView xWindow="0" yWindow="0" windowWidth="38400" windowHeight="17580" xr2:uid="{5D6AE86F-ACFA-426B-BFC7-2F98DA88EBEF}"/>
  </bookViews>
  <sheets>
    <sheet name="종료평가용" sheetId="1" r:id="rId1"/>
    <sheet name="사후평가용" sheetId="2" r:id="rId2"/>
  </sheets>
  <definedNames>
    <definedName name="_xlnm.Print_Area" localSheetId="1">사후평가용!$B$1:$G$64</definedName>
    <definedName name="_xlnm.Print_Area" localSheetId="0">종료평가용!$B$1:$G$59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2" i="2" l="1"/>
  <c r="D48" i="2"/>
  <c r="D57" i="2"/>
  <c r="D26" i="2"/>
  <c r="D17" i="2"/>
  <c r="D39" i="2"/>
  <c r="D63" i="2" l="1"/>
  <c r="D64" i="2" s="1"/>
  <c r="D39" i="1"/>
  <c r="D57" i="1" l="1"/>
  <c r="D48" i="1"/>
  <c r="D26" i="1"/>
  <c r="D17" i="1"/>
  <c r="D58" i="1" l="1"/>
  <c r="D59" i="1" s="1"/>
</calcChain>
</file>

<file path=xl/sharedStrings.xml><?xml version="1.0" encoding="utf-8"?>
<sst xmlns="http://schemas.openxmlformats.org/spreadsheetml/2006/main" count="287" uniqueCount="88">
  <si>
    <t>사업명:</t>
    <phoneticPr fontId="1" type="noConversion"/>
  </si>
  <si>
    <t>평가수행기관(평가책임자):</t>
    <phoneticPr fontId="1" type="noConversion"/>
  </si>
  <si>
    <t>평가 기준</t>
    <phoneticPr fontId="1" type="noConversion"/>
  </si>
  <si>
    <t>핵심질문</t>
    <phoneticPr fontId="1" type="noConversion"/>
  </si>
  <si>
    <t>1. 적절성</t>
    <phoneticPr fontId="1" type="noConversion"/>
  </si>
  <si>
    <t>배점</t>
    <phoneticPr fontId="1" type="noConversion"/>
  </si>
  <si>
    <t>/4점</t>
    <phoneticPr fontId="1" type="noConversion"/>
  </si>
  <si>
    <t>KOICA 종료평가 평가등급표</t>
    <phoneticPr fontId="1" type="noConversion"/>
  </si>
  <si>
    <t>점수구분</t>
    <phoneticPr fontId="1" type="noConversion"/>
  </si>
  <si>
    <t>참고사항</t>
    <phoneticPr fontId="1" type="noConversion"/>
  </si>
  <si>
    <t>한국정부(KOICA 포함) 협력전략, 수원국 정부 개발전략, 국제개발목표(SDGs 등), 사업지역 내 이해관계자 수요, 우선순위를 고려하지 않고 사업을 설계함.</t>
    <phoneticPr fontId="1" type="noConversion"/>
  </si>
  <si>
    <t>1점</t>
    <phoneticPr fontId="1" type="noConversion"/>
  </si>
  <si>
    <t>2점</t>
    <phoneticPr fontId="1" type="noConversion"/>
  </si>
  <si>
    <t>3점</t>
    <phoneticPr fontId="1" type="noConversion"/>
  </si>
  <si>
    <t>4점</t>
    <phoneticPr fontId="1" type="noConversion"/>
  </si>
  <si>
    <t>사업기간 중 발생한 상황변화에 적시 대응하지 못하였으며, 이로 인해 사업성과 달성에 중대한 영향을 미침.</t>
    <phoneticPr fontId="1" type="noConversion"/>
  </si>
  <si>
    <t>사업기간 중 발생한 상황변화에 △적기 대응하였으며, △발생가능한 위기 및 사업관리 영향에 대해 분석 및 이해관계자에 공유하고, △당초 계획을 보완한 실현가능한 대안책을 마련하여 실천하였으나, 당초 계획했던 성과목표의 일부만 달성됨.</t>
    <phoneticPr fontId="1" type="noConversion"/>
  </si>
  <si>
    <t>적절성 평점</t>
    <phoneticPr fontId="1" type="noConversion"/>
  </si>
  <si>
    <t>2. 일관성</t>
    <phoneticPr fontId="1" type="noConversion"/>
  </si>
  <si>
    <t>점수
(1~4점)</t>
    <phoneticPr fontId="1" type="noConversion"/>
  </si>
  <si>
    <t>사업 기획단계에서 타 개입과의 상호보완성을 인지하고 구체적인 조율·연계과정을 통해 사업 성과의 상호보완성 및 시너지효과가 확인됨.</t>
    <phoneticPr fontId="1" type="noConversion"/>
  </si>
  <si>
    <t>일관성 평점</t>
    <phoneticPr fontId="1" type="noConversion"/>
  </si>
  <si>
    <t>3. 효과성</t>
    <phoneticPr fontId="1" type="noConversion"/>
  </si>
  <si>
    <t>효과성 평점</t>
    <phoneticPr fontId="1" type="noConversion"/>
  </si>
  <si>
    <t>4.1. 사업은 경제적이고 시의적절한 방식으로 추진되었는가?</t>
    <phoneticPr fontId="1" type="noConversion"/>
  </si>
  <si>
    <t>1.2. 내·외부 상황변화에 맞추어 사업설계를 적절히 관리 및 유지하였는가?</t>
    <phoneticPr fontId="1" type="noConversion"/>
  </si>
  <si>
    <t>4.2. 사업은 주요 투입 및 활동 간 균형, 상호작용을 고려하여 효율적으로 추진되었는가?</t>
    <phoneticPr fontId="1" type="noConversion"/>
  </si>
  <si>
    <t>4. 효율성</t>
    <phoneticPr fontId="1" type="noConversion"/>
  </si>
  <si>
    <t>효율성 평점</t>
    <phoneticPr fontId="1" type="noConversion"/>
  </si>
  <si>
    <t>5. 지속가능성</t>
    <phoneticPr fontId="1" type="noConversion"/>
  </si>
  <si>
    <t>5.1. 수원국 내 시스템, 조직 및 이해관계자는 사업 편익이 지속될 수 있는 재정적, 경제적 자립역량 및 위기대응능력을 갖추었는가?</t>
    <phoneticPr fontId="1" type="noConversion"/>
  </si>
  <si>
    <t>5.2. 사업 편익이 장기적으로 지속될 수 있는 제도적, 사회적 환경이 갖추어졌는가?</t>
    <phoneticPr fontId="1" type="noConversion"/>
  </si>
  <si>
    <t>지속가능성 평점</t>
    <phoneticPr fontId="1" type="noConversion"/>
  </si>
  <si>
    <t>평가 총점</t>
    <phoneticPr fontId="1" type="noConversion"/>
  </si>
  <si>
    <t>/20점</t>
    <phoneticPr fontId="1" type="noConversion"/>
  </si>
  <si>
    <t>사업의 기획 - 추진 - 성과달성 측면에서 사회적 소외계층에 대한 사업성과 달성을 위해 취약층 식별 및 제약요인 파악, 수요 우선반영, 분리데이터 모니터링 등의 조치가 이루어졌으며, 실제 소외계층을 고려한 정성적, 정량적 사업성과 달성이 확인됨.</t>
    <phoneticPr fontId="1" type="noConversion"/>
  </si>
  <si>
    <t>사업기획 및 추진 단계에서 사회적 소외계층에 대한 고려가 미흡하며, 사업 결과 취약계층에 미치는 영향을 확인하지 못함.</t>
    <phoneticPr fontId="1" type="noConversion"/>
  </si>
  <si>
    <t>사업기획 및 추진 단계에서 사회적 소외계층에 대한 고려가 미흡하며, 사업의 부정적 파급효과로 인해 취약계층의 제약요인 및 취약성을 명백히 심화시킨 사례가 확인됨.</t>
    <phoneticPr fontId="1" type="noConversion"/>
  </si>
  <si>
    <t>아래 사항 중 하나 이상에 해당하는 경우
- 개입간 연계사항이 사업 기획단계에 반영되지는 못했으나, 사업 추진 과정에서 상호 협의 및 조정을 통해 일부 반영되었거나 구체적인 반영계획이 확인됨.
- 사업 기획단계에서 조화 및 부가가치 창출이 가능한 타 개입을 충분히 검토하였으나, 평가대상사업과 연계가능한 타 사업이 존재하지 않아 실질적 연계가 불가하였음(이 경우 평가팀에서 별도로 교차검증 필요)</t>
    <phoneticPr fontId="1" type="noConversion"/>
  </si>
  <si>
    <t>사업 성과의 중장기 지속을 위한 다년도 예산을 확보하였거나 자체 수익모델로 재정적, 경제적 자립역량 확보가 충분히 가능함. 내·외부 위기상황 발생시 자체적으로 의사결정 및 대응한 사례가 존재하거나, 대응 가능한 인력 및 예산구조가 확보되었다고 판단됨.</t>
    <phoneticPr fontId="1" type="noConversion"/>
  </si>
  <si>
    <t>사업 성과 지속을 위한 수원국의 의지는 확인되나, 이를 위한 예산 및 인력확보계획이 구체적으로 마련되어 있지 않아 지속가능성을 담보하기 어려움.</t>
    <phoneticPr fontId="1" type="noConversion"/>
  </si>
  <si>
    <t>수원국 내 사업에 참여하거나 인지하고 있는 인력이 확인되지 않으며, 예산계획 또한 불투명함. 발생가능한 위기에 대처할 수 있는 기제가 확인되지 않음.</t>
    <phoneticPr fontId="1" type="noConversion"/>
  </si>
  <si>
    <t>사업 성과 지속 및 확장을 위한 구체적인 조치(ex. 입법화, 사업 모델의 수원국 자체 프로그램 적용, 전담기관 지정 및 운영 등)이 실현됨.</t>
    <phoneticPr fontId="1" type="noConversion"/>
  </si>
  <si>
    <t>사업 성과 지속 및 확장을 위한 구체적인 조치(ex. 입법화, 사업 모델의 수원국 자체 프로그램 적용, 전담기관 지정 및 운영 등) 마련을 위한 구체적인 사전 준비 혹은 논의가 진행되고 있음.</t>
    <phoneticPr fontId="1" type="noConversion"/>
  </si>
  <si>
    <t>현 시점에서의 사업 성과는 일정 부분 확인되나, 향후 사업 성과 지속 및 확장을 위한 별도 조치가 확인되지 않음.</t>
    <phoneticPr fontId="1" type="noConversion"/>
  </si>
  <si>
    <t>사업 기획 및 추진 상의 미흡으로 성과 지속 및 확장이 불가능할 것으로 판단됨.</t>
    <phoneticPr fontId="1" type="noConversion"/>
  </si>
  <si>
    <t>별도 타당한 사유 없이 사업 기간 및 예산의 150% 이상이 비효율적으로 증액 및 연장됨.</t>
    <phoneticPr fontId="1" type="noConversion"/>
  </si>
  <si>
    <t>사업 기간 및 예산의 150% 이상이 증액 및 연장되었으나, 그 필요성 및 불가피성이 일부 인정됨.</t>
    <phoneticPr fontId="1" type="noConversion"/>
  </si>
  <si>
    <t>계획 대비 사업 기간 및 예산 활용에 소폭 조정사항(150% 미만)이 있으나, 그 필요성 및 불가피성이 인정됨.</t>
    <phoneticPr fontId="1" type="noConversion"/>
  </si>
  <si>
    <t>계획 대비 사업 기간 및 예산 활용에 소폭 조정사항(150% 미만)이 있으나, 그 필요성 및 불가피성이 인정되며, 총 예산 절감, 사업공기 단축, 추가 사업요소 반영 등 사업의 효율성에 긍정적인 영향이 확인됨.</t>
    <phoneticPr fontId="1" type="noConversion"/>
  </si>
  <si>
    <t>3의 조건을 모두 만족하며, 사전 수요조사 및 이해관계자 분석 과정에서 현지 이해관계자의 적극적인 참여 아래 문제나무, 변화이론 분석 등의 구체적 분석방식을 통해 사업 당면과제 및 수요가 충분히 검증되고 사업에 반영됨.</t>
    <phoneticPr fontId="1" type="noConversion"/>
  </si>
  <si>
    <t>사업 기획단계부터 사업요소 간 균형 및 상호작용을 고려하였으며, 요소 간 시너지효과 및 연계성이 사업성과 강화요인으로 작용함.</t>
    <phoneticPr fontId="1" type="noConversion"/>
  </si>
  <si>
    <t>사업 주요 투입 및 활동 간 균형 및 상호작용을 고려하지 않아 사업 성과의 달성 미흡에 심각한 영향을 미침.</t>
    <phoneticPr fontId="1" type="noConversion"/>
  </si>
  <si>
    <t>사업 기획단계에서는 고려되지 않았으나, 추진단계에서의 필요에 의해 사업요소 간 순서 및 균형을 사후적으로 조정함.</t>
    <phoneticPr fontId="1" type="noConversion"/>
  </si>
  <si>
    <t>사업 주요 투입 및 활동 간 균형을 별도로 고려하지 않았으나, 사업 성과에 유의미한 영향을 미치지 않음.</t>
    <phoneticPr fontId="1" type="noConversion"/>
  </si>
  <si>
    <t>아래 사항 중 하나 이상에 해당하는 경우
- 사업 기획단계에서 충분히 인지할 수 있는 타 개입사항이 있었음에도 불구하고, 파악 및 논의가 미비하여 사업요소 중복, 상호충돌이 발생하고 성과에 영향을 미침.
- 주요 국제규범 및 기준을 명백히 위반한 사례가 확인됨.</t>
    <phoneticPr fontId="1" type="noConversion"/>
  </si>
  <si>
    <t>아래 사항 중 하나 이상에 해당하는 경우
- 사업의 기획 - 추진 - 성과달성 측면에서 사회적 소외계층에 대한 사업성과 달성을 위한 조치가 이루어졌으나,  실제 사업의 정성적, 정량적 성과에서 관련 내용을 특정하여 평가하기 어려움.
- 사업기획 및 추진 단계에서 사회적 소외계층에 대한 고려가 두드러지지는 않으나, 사업 파급효과로 인해 취약계층의 역량강화 및 상황개선이 확인됨.</t>
    <phoneticPr fontId="1" type="noConversion"/>
  </si>
  <si>
    <t>2.2. (외적 일관성) 사업대상지역 내 타 주체(타 공여기관, 민간분야, 수원국 정부)의 개입과 상호보완성, 조화/조율, 부가가치를 고려하여 사업을 추진했는가?</t>
    <phoneticPr fontId="1" type="noConversion"/>
  </si>
  <si>
    <t>2.1. (내적 일관성) 한국 정부 및 국내 타 기관 사업, KOICA 타 사업, 주요 국제규범 및 기준과 상호보완성, 조화/조율, 부가가치를 고려하여 사업을 추진했는가?</t>
    <phoneticPr fontId="1" type="noConversion"/>
  </si>
  <si>
    <t>※ 평가등급 산정 시 유의사항(작성 시 삭제)
- 4점: 사업에서 의도한 바를 모두 달성하였으며, 기대하지 않은 성과 및 달성사항을 확인함.
- 3점: 당초 사업에서 계획한 바를 전반적으로 양호하게 달성함.
- 2점: 일부 사업내용을 제대로 이행하거나 고려하지 못하여, 사업 성과 달성에 일부 영향을 미침.
- 1점: 대다수의 사업내용을 제대로 이행하거나 고려하지 못하여 사업 성과 달성에 명백한 부정적 영향을 미침.</t>
    <phoneticPr fontId="1" type="noConversion"/>
  </si>
  <si>
    <t>1.1. 사업은 당면과제 해결을 위한 이해관계자(한국정부, 수원국, 수원기관, 수혜자) 의 수요와 우선순위를 반영하여 설계되었는가?</t>
    <phoneticPr fontId="1" type="noConversion"/>
  </si>
  <si>
    <t>최종 PDM 내 대부분의 산출물(output)을 달성하였으며, 일부 요소에서 정량적, 정성적으로 미흡한 면이 확인되나 해당 사유의 불가피성 및 타당성이 충분히 인정되며 극복가능함.</t>
    <phoneticPr fontId="1" type="noConversion"/>
  </si>
  <si>
    <t>3.1. 사업의 직접적, 일차적 산출물(output)을 계획한대로 달성하였는가?</t>
    <phoneticPr fontId="1" type="noConversion"/>
  </si>
  <si>
    <t>하나 이상의 산출물(output)을 현저히 달성하지 못하였으며, 해당 사유의 불가피성 및 타당성이 인정되지 않거나 사업의 중장기 성과 및 목표 달성 가능성이 매우 낮음.</t>
    <phoneticPr fontId="1" type="noConversion"/>
  </si>
  <si>
    <t>최종 PDM 내 모든 산출물(output)을 100% 이상 달성하였으며, 사업 산출물의 품질이 우수하여 사업의 중장기성과 및 목표달성에 기여할 가능성이 높음.</t>
    <phoneticPr fontId="1" type="noConversion"/>
  </si>
  <si>
    <t xml:space="preserve">3.3. 사업은 사회적 소외계층을 포용하여 형평성있게 성과를 달성하였는가? </t>
    <phoneticPr fontId="1" type="noConversion"/>
  </si>
  <si>
    <t>최종 PDM(혹은 ePDM) 내 모든 성과(outcome)를 달성하였으며, 해당 지표는 사업의 실제 성과를 대표할 수 있도록 설정됨. 기획단계부터 사업의 당면과제와 최종 목표를 명확히 설정하였으며, 해당 사업으로 최종 목표를 달성할 수 있는 인과성(causality)이 확인됨.</t>
    <phoneticPr fontId="1" type="noConversion"/>
  </si>
  <si>
    <t xml:space="preserve">최종 PDM 내 대부분의 성과(outcome)를 달성하였거나 달성할 것으로 예상됨. 일부 선결과제 혹은 위기상황이 해결될 경우 사업에서 의도한 최종 목표 달성 가능성이 상당함. </t>
    <phoneticPr fontId="1" type="noConversion"/>
  </si>
  <si>
    <t>최종 PDM 내 성과(outcome)을 전혀 달성하지 못하였거나 달성할 가능성이 없음. 사업에서 설정한 당면과제 및 최종목표가 명확하지 않거나 현실에 부합하지 않으며, 달성 가능성도 낮음.</t>
    <phoneticPr fontId="1" type="noConversion"/>
  </si>
  <si>
    <t>사업기간 중 발생한 상황변화에 일부 대응하였으나 도입된 대안의 실효성 및 타당성이 다소 부족하여 당초 계획된 중요 산출물이나 성과를 미달성함.</t>
    <phoneticPr fontId="1" type="noConversion"/>
  </si>
  <si>
    <t>사업 설계가 이해관계자 수요와 우선순위에 일부 부합하나 해당 수요 및 우선순위 분석방식이 전반적으로 미흡함.</t>
    <phoneticPr fontId="1" type="noConversion"/>
  </si>
  <si>
    <t>사업 설계가 이해관계자 수요에 전반적으로 부합하거나 상호보완적으로 작용하며, 사업지역 내 이해관계자 수요와 우선순위 분석이 이루어짐.</t>
    <phoneticPr fontId="1" type="noConversion"/>
  </si>
  <si>
    <t>3.2. 사업의 중장기 성과(outcome) 및 목표(goal)를 달성하였거나 달성할 것으로 예상하는가?</t>
    <phoneticPr fontId="1" type="noConversion"/>
  </si>
  <si>
    <t xml:space="preserve">사업 기획단계에서 충분히 인지할 수 있는 타 개입사항이 있었음에도 불구하고, 파악 및 논의가 미비하여 사업요소 중복, 상호충돌이 발생하고 성과에 영향을 미침. </t>
    <phoneticPr fontId="1" type="noConversion"/>
  </si>
  <si>
    <t>아래 사항 중 하나 이상에 해당하는 경우
- 사업 기획 및 추진 단계에서 타 개입에 대해 인지하였음에도 연계 및 조율 시도가 확인되지 않음. 다만, 타 개입과의 중복 및 상호충돌은 확인되지 않음.
- 사업 성과 확산을 위한 타 개입과의 연계 가능성이 존재하고 연계 의지는 확인되나, 연계를 위한 구체적인 계획이나 조치사항이 확인되지 않음.</t>
    <phoneticPr fontId="1" type="noConversion"/>
  </si>
  <si>
    <t>하나 이상의 산출물(output)을 일부 달성하지 못하였으며, 해당 사유의 불가피성 및 타당성이 일부 인정되나 사업의 성과 및 목표 달성에 부정적인 영향을 미칠 가능성이 높음.</t>
    <phoneticPr fontId="1" type="noConversion"/>
  </si>
  <si>
    <t>최종 PDM 내 일부 성과(outcome)을 달성하였거나 달성할 것으로 예상되나, 사업 기획단계에서 설정한 당면과제의 해결과 최종목표 달성 가능성은 현시점에서 뚜렷하게 확인되지 않음.</t>
    <phoneticPr fontId="1" type="noConversion"/>
  </si>
  <si>
    <t xml:space="preserve">사업기간 중 발생한 상황변화에 △적기 대응하였으며, △발생가능한 위기 및 사업관리 영향에 대해 분석 및 이해관계자에 공유하고, △당초 계획을 보완한 실현가능한 대안책을 마련하여 실천하였으며, 이를 통해 당초 계획했던 성과지표를 달성하였으며, 사업의 궁극적인 목표(Goal)를 달성할 가능성이 높음. </t>
    <phoneticPr fontId="1" type="noConversion"/>
  </si>
  <si>
    <t>사업 성과 지속을 위한 일시(단년도) 예산을 확보하였거나, 일부 미흡하지만 빠른 시간내에 자체수익모델을 통한 자립운영이 가능할 것으로 판단됨. 평가팀에서 파악한 잠재적인 내·외부 위기사항에 대해 수원국 측에서 인지하고 조치방안을 마련하고 있으나 예산 및 인력 제약으로 인해 단기적으로 외부지원이 수반되어야 함.</t>
    <phoneticPr fontId="1" type="noConversion"/>
  </si>
  <si>
    <t>6. 영향력</t>
    <phoneticPr fontId="1" type="noConversion"/>
  </si>
  <si>
    <t>영향력 평점</t>
    <phoneticPr fontId="1" type="noConversion"/>
  </si>
  <si>
    <t>6.1. 사업은 장기적이고 광범위한 관점에서 사회적, 환경적, 경제적으로 전환적 효과(transformative effect)를 달성하거나 달성할 가능성이 있는가?</t>
    <phoneticPr fontId="1" type="noConversion"/>
  </si>
  <si>
    <t>해당 사업 추진 및 종료 후 관리 조치가 사업 효과의 지속 및 확산을 저해할 뿐만 아니라 수원국의 사회, 환경, 경제적 개선에 전혀 기여하지 못하거나 부정적 영향을 미칠 것으로 판단됨.</t>
    <phoneticPr fontId="1" type="noConversion"/>
  </si>
  <si>
    <t>평가 시점에서 사업 효과의 지속 유지 여부를 확인하기 어려우며, 사업으로 인한 사회, 환경, 경제적 변화를 확인하기 어려움.</t>
    <phoneticPr fontId="1" type="noConversion"/>
  </si>
  <si>
    <t>사업 효과의 즉각적이고 직접적인 효과가 지속되고 있으며, 이로 인해 수원국의 장기적인 사회·환경·경제적 변화에 어느정도 기여할 수 있을 것으로 판단됨.</t>
    <phoneticPr fontId="1" type="noConversion"/>
  </si>
  <si>
    <t>사업종료 이후에도 직, 간접, 잠재적 사업성과가 지속적으로 확산 및 유지되어 수원국의 사회, 환경, 경제 전반의 패러다임 변화에 레버리지로 작용하였으며, 이러한 변화를 구체적인 사례로 검증할 수 있음.</t>
    <phoneticPr fontId="1" type="noConversion"/>
  </si>
  <si>
    <t>/3점</t>
    <phoneticPr fontId="1" type="noConversion"/>
  </si>
  <si>
    <t>KOICA 사후평가 평가등급표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</si>
</sst>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점&quot;"/>
    <numFmt numFmtId="177" formatCode="0.0&quot;점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5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left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3" xfId="0" quotePrefix="1" applyFont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0" fillId="5" borderId="9" xfId="0" applyFill="1" applyBorder="1">
      <alignment vertical="center"/>
    </xf>
    <xf numFmtId="0" fontId="0" fillId="0" borderId="9" xfId="0" quotePrefix="1" applyFill="1" applyBorder="1" applyAlignment="1">
      <alignment vertical="center" wrapText="1"/>
    </xf>
    <xf numFmtId="0" fontId="0" fillId="0" borderId="9" xfId="0" applyBorder="1">
      <alignment vertical="center"/>
    </xf>
    <xf numFmtId="0" fontId="7" fillId="3" borderId="9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11" fillId="0" borderId="9" xfId="0" applyFont="1" applyBorder="1" applyAlignment="1">
      <alignment vertical="center" wrapText="1"/>
    </xf>
    <xf numFmtId="176" fontId="3" fillId="0" borderId="3" xfId="0" applyNumberFormat="1" applyFont="1" applyBorder="1" applyAlignment="1">
      <alignment horizontal="right" vertical="center"/>
    </xf>
    <xf numFmtId="0" fontId="3" fillId="0" borderId="3" xfId="0" quotePrefix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6" borderId="0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C121-DE41-4CFC-BEAC-155C343C62EA}">
  <sheetPr>
    <pageSetUpPr fitToPage="1"/>
  </sheetPr>
  <dimension ref="B1:G59"/>
  <sheetViews>
    <sheetView tabSelected="1" zoomScale="85" zoomScaleNormal="85" workbookViewId="0">
      <selection activeCell="B2" sqref="B2:G2"/>
    </sheetView>
  </sheetViews>
  <sheetFormatPr defaultRowHeight="16.5" x14ac:dyDescent="0.3"/>
  <cols>
    <col min="1" max="1" width="6" customWidth="1"/>
    <col min="2" max="2" width="30.75" customWidth="1"/>
    <col min="3" max="3" width="80.25" customWidth="1"/>
    <col min="4" max="5" width="12.75" customWidth="1"/>
    <col min="6" max="6" width="11.75" style="1" customWidth="1"/>
    <col min="7" max="7" width="81.875" customWidth="1"/>
  </cols>
  <sheetData>
    <row r="1" spans="2:7" ht="17.25" thickBot="1" x14ac:dyDescent="0.35"/>
    <row r="2" spans="2:7" ht="77.25" customHeight="1" thickBot="1" x14ac:dyDescent="0.35">
      <c r="B2" s="43" t="s">
        <v>7</v>
      </c>
      <c r="C2" s="44"/>
      <c r="D2" s="44"/>
      <c r="E2" s="44"/>
      <c r="F2" s="44"/>
      <c r="G2" s="45"/>
    </row>
    <row r="4" spans="2:7" s="6" customFormat="1" ht="24" x14ac:dyDescent="0.3">
      <c r="B4" s="7" t="s">
        <v>0</v>
      </c>
      <c r="C4" s="49"/>
      <c r="D4" s="49"/>
      <c r="E4" s="49"/>
      <c r="F4" s="8"/>
    </row>
    <row r="5" spans="2:7" s="6" customFormat="1" ht="24" x14ac:dyDescent="0.3">
      <c r="B5" s="7" t="s">
        <v>1</v>
      </c>
      <c r="C5" s="49"/>
      <c r="D5" s="49"/>
      <c r="E5" s="49"/>
      <c r="F5" s="8"/>
    </row>
    <row r="6" spans="2:7" s="6" customFormat="1" ht="143.25" customHeight="1" x14ac:dyDescent="0.3">
      <c r="B6" s="46" t="s">
        <v>59</v>
      </c>
      <c r="C6" s="46"/>
      <c r="D6" s="46"/>
      <c r="E6" s="46"/>
      <c r="F6" s="46"/>
      <c r="G6" s="46"/>
    </row>
    <row r="7" spans="2:7" ht="17.25" thickBot="1" x14ac:dyDescent="0.35"/>
    <row r="8" spans="2:7" s="6" customFormat="1" ht="48" x14ac:dyDescent="0.3">
      <c r="B8" s="13" t="s">
        <v>2</v>
      </c>
      <c r="C8" s="14" t="s">
        <v>3</v>
      </c>
      <c r="D8" s="14" t="s">
        <v>19</v>
      </c>
      <c r="E8" s="14" t="s">
        <v>5</v>
      </c>
      <c r="F8" s="15" t="s">
        <v>8</v>
      </c>
      <c r="G8" s="16" t="s">
        <v>9</v>
      </c>
    </row>
    <row r="9" spans="2:7" ht="33" x14ac:dyDescent="0.3">
      <c r="B9" s="39" t="s">
        <v>4</v>
      </c>
      <c r="C9" s="47" t="s">
        <v>60</v>
      </c>
      <c r="D9" s="27"/>
      <c r="E9" s="28" t="s">
        <v>6</v>
      </c>
      <c r="F9" s="3" t="s">
        <v>11</v>
      </c>
      <c r="G9" s="17" t="s">
        <v>10</v>
      </c>
    </row>
    <row r="10" spans="2:7" ht="33" x14ac:dyDescent="0.3">
      <c r="B10" s="39"/>
      <c r="C10" s="48"/>
      <c r="D10" s="27"/>
      <c r="E10" s="28"/>
      <c r="F10" s="3" t="s">
        <v>12</v>
      </c>
      <c r="G10" s="26" t="s">
        <v>70</v>
      </c>
    </row>
    <row r="11" spans="2:7" ht="33" x14ac:dyDescent="0.3">
      <c r="B11" s="39"/>
      <c r="C11" s="48"/>
      <c r="D11" s="27"/>
      <c r="E11" s="28"/>
      <c r="F11" s="3" t="s">
        <v>13</v>
      </c>
      <c r="G11" s="26" t="s">
        <v>71</v>
      </c>
    </row>
    <row r="12" spans="2:7" ht="49.5" x14ac:dyDescent="0.3">
      <c r="B12" s="39"/>
      <c r="C12" s="48"/>
      <c r="D12" s="27"/>
      <c r="E12" s="28"/>
      <c r="F12" s="3" t="s">
        <v>14</v>
      </c>
      <c r="G12" s="19" t="s">
        <v>50</v>
      </c>
    </row>
    <row r="13" spans="2:7" ht="33" x14ac:dyDescent="0.3">
      <c r="B13" s="39"/>
      <c r="C13" s="29" t="s">
        <v>25</v>
      </c>
      <c r="D13" s="27"/>
      <c r="E13" s="28" t="s">
        <v>6</v>
      </c>
      <c r="F13" s="3" t="s">
        <v>11</v>
      </c>
      <c r="G13" s="19" t="s">
        <v>15</v>
      </c>
    </row>
    <row r="14" spans="2:7" ht="33" x14ac:dyDescent="0.3">
      <c r="B14" s="39"/>
      <c r="C14" s="30"/>
      <c r="D14" s="27"/>
      <c r="E14" s="28"/>
      <c r="F14" s="2" t="s">
        <v>12</v>
      </c>
      <c r="G14" s="19" t="s">
        <v>69</v>
      </c>
    </row>
    <row r="15" spans="2:7" ht="49.5" x14ac:dyDescent="0.3">
      <c r="B15" s="39"/>
      <c r="C15" s="30"/>
      <c r="D15" s="27"/>
      <c r="E15" s="28"/>
      <c r="F15" s="2" t="s">
        <v>13</v>
      </c>
      <c r="G15" s="19" t="s">
        <v>16</v>
      </c>
    </row>
    <row r="16" spans="2:7" ht="66" x14ac:dyDescent="0.3">
      <c r="B16" s="39"/>
      <c r="C16" s="30"/>
      <c r="D16" s="27"/>
      <c r="E16" s="28"/>
      <c r="F16" s="2" t="s">
        <v>14</v>
      </c>
      <c r="G16" s="19" t="s">
        <v>77</v>
      </c>
    </row>
    <row r="17" spans="2:7" ht="24" x14ac:dyDescent="0.3">
      <c r="B17" s="40" t="s">
        <v>17</v>
      </c>
      <c r="C17" s="41"/>
      <c r="D17" s="5" t="str">
        <f>IFERROR(AVERAGE(D9:D16),"미입력")</f>
        <v>미입력</v>
      </c>
      <c r="E17" s="4" t="s">
        <v>6</v>
      </c>
      <c r="F17" s="12"/>
      <c r="G17" s="20"/>
    </row>
    <row r="18" spans="2:7" ht="66" customHeight="1" x14ac:dyDescent="0.3">
      <c r="B18" s="39" t="s">
        <v>18</v>
      </c>
      <c r="C18" s="29" t="s">
        <v>58</v>
      </c>
      <c r="D18" s="27"/>
      <c r="E18" s="28" t="s">
        <v>6</v>
      </c>
      <c r="F18" s="3" t="s">
        <v>11</v>
      </c>
      <c r="G18" s="19" t="s">
        <v>73</v>
      </c>
    </row>
    <row r="19" spans="2:7" ht="82.5" x14ac:dyDescent="0.3">
      <c r="B19" s="39"/>
      <c r="C19" s="30"/>
      <c r="D19" s="27"/>
      <c r="E19" s="28"/>
      <c r="F19" s="3" t="s">
        <v>12</v>
      </c>
      <c r="G19" s="21" t="s">
        <v>74</v>
      </c>
    </row>
    <row r="20" spans="2:7" ht="99" x14ac:dyDescent="0.3">
      <c r="B20" s="39"/>
      <c r="C20" s="30"/>
      <c r="D20" s="27"/>
      <c r="E20" s="28"/>
      <c r="F20" s="3" t="s">
        <v>13</v>
      </c>
      <c r="G20" s="18" t="s">
        <v>38</v>
      </c>
    </row>
    <row r="21" spans="2:7" ht="33" x14ac:dyDescent="0.3">
      <c r="B21" s="39"/>
      <c r="C21" s="30"/>
      <c r="D21" s="27"/>
      <c r="E21" s="28"/>
      <c r="F21" s="3" t="s">
        <v>14</v>
      </c>
      <c r="G21" s="18" t="s">
        <v>20</v>
      </c>
    </row>
    <row r="22" spans="2:7" ht="66" x14ac:dyDescent="0.3">
      <c r="B22" s="39"/>
      <c r="C22" s="29" t="s">
        <v>57</v>
      </c>
      <c r="D22" s="27"/>
      <c r="E22" s="28" t="s">
        <v>6</v>
      </c>
      <c r="F22" s="3" t="s">
        <v>11</v>
      </c>
      <c r="G22" s="19" t="s">
        <v>55</v>
      </c>
    </row>
    <row r="23" spans="2:7" ht="82.5" x14ac:dyDescent="0.3">
      <c r="B23" s="39"/>
      <c r="C23" s="30"/>
      <c r="D23" s="27"/>
      <c r="E23" s="28"/>
      <c r="F23" s="3" t="s">
        <v>12</v>
      </c>
      <c r="G23" s="21" t="s">
        <v>74</v>
      </c>
    </row>
    <row r="24" spans="2:7" ht="99" x14ac:dyDescent="0.3">
      <c r="B24" s="39"/>
      <c r="C24" s="30"/>
      <c r="D24" s="27"/>
      <c r="E24" s="28"/>
      <c r="F24" s="3" t="s">
        <v>13</v>
      </c>
      <c r="G24" s="18" t="s">
        <v>38</v>
      </c>
    </row>
    <row r="25" spans="2:7" ht="33" x14ac:dyDescent="0.3">
      <c r="B25" s="39"/>
      <c r="C25" s="30"/>
      <c r="D25" s="27"/>
      <c r="E25" s="28"/>
      <c r="F25" s="3" t="s">
        <v>14</v>
      </c>
      <c r="G25" s="18" t="s">
        <v>20</v>
      </c>
    </row>
    <row r="26" spans="2:7" ht="24" x14ac:dyDescent="0.3">
      <c r="B26" s="40" t="s">
        <v>21</v>
      </c>
      <c r="C26" s="41"/>
      <c r="D26" s="5" t="str">
        <f>IFERROR(AVERAGE(D18:D25),"미입력")</f>
        <v>미입력</v>
      </c>
      <c r="E26" s="4" t="s">
        <v>6</v>
      </c>
      <c r="F26" s="12"/>
      <c r="G26" s="20"/>
    </row>
    <row r="27" spans="2:7" ht="33" x14ac:dyDescent="0.3">
      <c r="B27" s="33" t="s">
        <v>22</v>
      </c>
      <c r="C27" s="29" t="s">
        <v>62</v>
      </c>
      <c r="D27" s="27"/>
      <c r="E27" s="28" t="s">
        <v>6</v>
      </c>
      <c r="F27" s="3" t="s">
        <v>11</v>
      </c>
      <c r="G27" s="18" t="s">
        <v>63</v>
      </c>
    </row>
    <row r="28" spans="2:7" ht="33" x14ac:dyDescent="0.3">
      <c r="B28" s="34"/>
      <c r="C28" s="30"/>
      <c r="D28" s="27"/>
      <c r="E28" s="28"/>
      <c r="F28" s="3" t="s">
        <v>12</v>
      </c>
      <c r="G28" s="18" t="s">
        <v>75</v>
      </c>
    </row>
    <row r="29" spans="2:7" ht="33" x14ac:dyDescent="0.3">
      <c r="B29" s="34"/>
      <c r="C29" s="30"/>
      <c r="D29" s="27"/>
      <c r="E29" s="28"/>
      <c r="F29" s="3" t="s">
        <v>13</v>
      </c>
      <c r="G29" s="18" t="s">
        <v>61</v>
      </c>
    </row>
    <row r="30" spans="2:7" ht="33" x14ac:dyDescent="0.3">
      <c r="B30" s="34"/>
      <c r="C30" s="30"/>
      <c r="D30" s="27"/>
      <c r="E30" s="28"/>
      <c r="F30" s="3" t="s">
        <v>14</v>
      </c>
      <c r="G30" s="18" t="s">
        <v>64</v>
      </c>
    </row>
    <row r="31" spans="2:7" ht="33" x14ac:dyDescent="0.3">
      <c r="B31" s="34"/>
      <c r="C31" s="29" t="s">
        <v>72</v>
      </c>
      <c r="D31" s="27"/>
      <c r="E31" s="28" t="s">
        <v>6</v>
      </c>
      <c r="F31" s="3" t="s">
        <v>11</v>
      </c>
      <c r="G31" s="18" t="s">
        <v>68</v>
      </c>
    </row>
    <row r="32" spans="2:7" ht="33" x14ac:dyDescent="0.3">
      <c r="B32" s="34"/>
      <c r="C32" s="30"/>
      <c r="D32" s="27"/>
      <c r="E32" s="28"/>
      <c r="F32" s="3" t="s">
        <v>12</v>
      </c>
      <c r="G32" s="18" t="s">
        <v>76</v>
      </c>
    </row>
    <row r="33" spans="2:7" ht="33" x14ac:dyDescent="0.3">
      <c r="B33" s="34"/>
      <c r="C33" s="30"/>
      <c r="D33" s="27"/>
      <c r="E33" s="28"/>
      <c r="F33" s="3" t="s">
        <v>13</v>
      </c>
      <c r="G33" s="18" t="s">
        <v>67</v>
      </c>
    </row>
    <row r="34" spans="2:7" ht="49.5" x14ac:dyDescent="0.3">
      <c r="B34" s="34"/>
      <c r="C34" s="30"/>
      <c r="D34" s="27"/>
      <c r="E34" s="28"/>
      <c r="F34" s="3" t="s">
        <v>14</v>
      </c>
      <c r="G34" s="18" t="s">
        <v>66</v>
      </c>
    </row>
    <row r="35" spans="2:7" ht="33" x14ac:dyDescent="0.3">
      <c r="B35" s="34"/>
      <c r="C35" s="31" t="s">
        <v>65</v>
      </c>
      <c r="D35" s="27"/>
      <c r="E35" s="28" t="s">
        <v>6</v>
      </c>
      <c r="F35" s="3" t="s">
        <v>11</v>
      </c>
      <c r="G35" s="18" t="s">
        <v>37</v>
      </c>
    </row>
    <row r="36" spans="2:7" ht="33" x14ac:dyDescent="0.3">
      <c r="B36" s="34"/>
      <c r="C36" s="32"/>
      <c r="D36" s="27"/>
      <c r="E36" s="28"/>
      <c r="F36" s="3" t="s">
        <v>12</v>
      </c>
      <c r="G36" s="18" t="s">
        <v>36</v>
      </c>
    </row>
    <row r="37" spans="2:7" ht="82.5" x14ac:dyDescent="0.3">
      <c r="B37" s="34"/>
      <c r="C37" s="32"/>
      <c r="D37" s="27"/>
      <c r="E37" s="28"/>
      <c r="F37" s="3" t="s">
        <v>13</v>
      </c>
      <c r="G37" s="18" t="s">
        <v>56</v>
      </c>
    </row>
    <row r="38" spans="2:7" ht="49.5" x14ac:dyDescent="0.3">
      <c r="B38" s="34"/>
      <c r="C38" s="32"/>
      <c r="D38" s="27"/>
      <c r="E38" s="28"/>
      <c r="F38" s="3" t="s">
        <v>14</v>
      </c>
      <c r="G38" s="18" t="s">
        <v>35</v>
      </c>
    </row>
    <row r="39" spans="2:7" ht="24" x14ac:dyDescent="0.3">
      <c r="B39" s="40" t="s">
        <v>23</v>
      </c>
      <c r="C39" s="41"/>
      <c r="D39" s="5" t="str">
        <f>IFERROR(ROUND(AVERAGE(D27:D38),1),"미입력")</f>
        <v>미입력</v>
      </c>
      <c r="E39" s="4" t="s">
        <v>6</v>
      </c>
      <c r="F39" s="12"/>
      <c r="G39" s="20"/>
    </row>
    <row r="40" spans="2:7" x14ac:dyDescent="0.3">
      <c r="B40" s="39" t="s">
        <v>27</v>
      </c>
      <c r="C40" s="30" t="s">
        <v>24</v>
      </c>
      <c r="D40" s="27"/>
      <c r="E40" s="28" t="s">
        <v>6</v>
      </c>
      <c r="F40" s="3" t="s">
        <v>11</v>
      </c>
      <c r="G40" s="22" t="s">
        <v>46</v>
      </c>
    </row>
    <row r="41" spans="2:7" x14ac:dyDescent="0.3">
      <c r="B41" s="39"/>
      <c r="C41" s="30"/>
      <c r="D41" s="27"/>
      <c r="E41" s="28"/>
      <c r="F41" s="3" t="s">
        <v>12</v>
      </c>
      <c r="G41" s="18" t="s">
        <v>47</v>
      </c>
    </row>
    <row r="42" spans="2:7" ht="33" x14ac:dyDescent="0.3">
      <c r="B42" s="39"/>
      <c r="C42" s="30"/>
      <c r="D42" s="27"/>
      <c r="E42" s="28"/>
      <c r="F42" s="3" t="s">
        <v>13</v>
      </c>
      <c r="G42" s="18" t="s">
        <v>48</v>
      </c>
    </row>
    <row r="43" spans="2:7" ht="49.5" x14ac:dyDescent="0.3">
      <c r="B43" s="39"/>
      <c r="C43" s="30"/>
      <c r="D43" s="27"/>
      <c r="E43" s="28"/>
      <c r="F43" s="3" t="s">
        <v>14</v>
      </c>
      <c r="G43" s="18" t="s">
        <v>49</v>
      </c>
    </row>
    <row r="44" spans="2:7" ht="33" x14ac:dyDescent="0.3">
      <c r="B44" s="39"/>
      <c r="C44" s="29" t="s">
        <v>26</v>
      </c>
      <c r="D44" s="27"/>
      <c r="E44" s="28" t="s">
        <v>6</v>
      </c>
      <c r="F44" s="3" t="s">
        <v>11</v>
      </c>
      <c r="G44" s="18" t="s">
        <v>52</v>
      </c>
    </row>
    <row r="45" spans="2:7" ht="33" x14ac:dyDescent="0.3">
      <c r="B45" s="39"/>
      <c r="C45" s="30"/>
      <c r="D45" s="27"/>
      <c r="E45" s="28"/>
      <c r="F45" s="3" t="s">
        <v>12</v>
      </c>
      <c r="G45" s="18" t="s">
        <v>54</v>
      </c>
    </row>
    <row r="46" spans="2:7" ht="33" x14ac:dyDescent="0.3">
      <c r="B46" s="39"/>
      <c r="C46" s="30"/>
      <c r="D46" s="27"/>
      <c r="E46" s="28"/>
      <c r="F46" s="3" t="s">
        <v>13</v>
      </c>
      <c r="G46" s="18" t="s">
        <v>53</v>
      </c>
    </row>
    <row r="47" spans="2:7" ht="33" x14ac:dyDescent="0.3">
      <c r="B47" s="39"/>
      <c r="C47" s="30"/>
      <c r="D47" s="27"/>
      <c r="E47" s="28"/>
      <c r="F47" s="3" t="s">
        <v>14</v>
      </c>
      <c r="G47" s="18" t="s">
        <v>51</v>
      </c>
    </row>
    <row r="48" spans="2:7" ht="24" x14ac:dyDescent="0.3">
      <c r="B48" s="40" t="s">
        <v>28</v>
      </c>
      <c r="C48" s="41"/>
      <c r="D48" s="5" t="str">
        <f>IFERROR(AVERAGE(D40:D47),"미입력")</f>
        <v>미입력</v>
      </c>
      <c r="E48" s="4" t="s">
        <v>6</v>
      </c>
      <c r="F48" s="12"/>
      <c r="G48" s="20"/>
    </row>
    <row r="49" spans="2:7" ht="57" customHeight="1" x14ac:dyDescent="0.3">
      <c r="B49" s="39" t="s">
        <v>29</v>
      </c>
      <c r="C49" s="29" t="s">
        <v>30</v>
      </c>
      <c r="D49" s="27"/>
      <c r="E49" s="28" t="s">
        <v>6</v>
      </c>
      <c r="F49" s="3" t="s">
        <v>11</v>
      </c>
      <c r="G49" s="18" t="s">
        <v>41</v>
      </c>
    </row>
    <row r="50" spans="2:7" ht="53.25" customHeight="1" x14ac:dyDescent="0.3">
      <c r="B50" s="39"/>
      <c r="C50" s="30"/>
      <c r="D50" s="27"/>
      <c r="E50" s="28"/>
      <c r="F50" s="3" t="s">
        <v>12</v>
      </c>
      <c r="G50" s="18" t="s">
        <v>40</v>
      </c>
    </row>
    <row r="51" spans="2:7" ht="89.25" customHeight="1" x14ac:dyDescent="0.3">
      <c r="B51" s="39"/>
      <c r="C51" s="30"/>
      <c r="D51" s="27"/>
      <c r="E51" s="28"/>
      <c r="F51" s="3" t="s">
        <v>13</v>
      </c>
      <c r="G51" s="18" t="s">
        <v>78</v>
      </c>
    </row>
    <row r="52" spans="2:7" ht="49.5" x14ac:dyDescent="0.3">
      <c r="B52" s="39"/>
      <c r="C52" s="30"/>
      <c r="D52" s="27"/>
      <c r="E52" s="28"/>
      <c r="F52" s="3" t="s">
        <v>14</v>
      </c>
      <c r="G52" s="18" t="s">
        <v>39</v>
      </c>
    </row>
    <row r="53" spans="2:7" ht="16.5" customHeight="1" x14ac:dyDescent="0.3">
      <c r="B53" s="39"/>
      <c r="C53" s="29" t="s">
        <v>31</v>
      </c>
      <c r="D53" s="27"/>
      <c r="E53" s="28" t="s">
        <v>6</v>
      </c>
      <c r="F53" s="3" t="s">
        <v>11</v>
      </c>
      <c r="G53" s="22" t="s">
        <v>45</v>
      </c>
    </row>
    <row r="54" spans="2:7" ht="33" x14ac:dyDescent="0.3">
      <c r="B54" s="39"/>
      <c r="C54" s="30"/>
      <c r="D54" s="27"/>
      <c r="E54" s="28"/>
      <c r="F54" s="3" t="s">
        <v>12</v>
      </c>
      <c r="G54" s="18" t="s">
        <v>44</v>
      </c>
    </row>
    <row r="55" spans="2:7" ht="33" x14ac:dyDescent="0.3">
      <c r="B55" s="39"/>
      <c r="C55" s="30"/>
      <c r="D55" s="27"/>
      <c r="E55" s="28"/>
      <c r="F55" s="3" t="s">
        <v>13</v>
      </c>
      <c r="G55" s="18" t="s">
        <v>43</v>
      </c>
    </row>
    <row r="56" spans="2:7" ht="33" x14ac:dyDescent="0.3">
      <c r="B56" s="39"/>
      <c r="C56" s="30"/>
      <c r="D56" s="27"/>
      <c r="E56" s="28"/>
      <c r="F56" s="3" t="s">
        <v>14</v>
      </c>
      <c r="G56" s="18" t="s">
        <v>42</v>
      </c>
    </row>
    <row r="57" spans="2:7" ht="24" x14ac:dyDescent="0.3">
      <c r="B57" s="40" t="s">
        <v>32</v>
      </c>
      <c r="C57" s="41"/>
      <c r="D57" s="5" t="str">
        <f>IFERROR(AVERAGE(D49:D56),"미입력")</f>
        <v>미입력</v>
      </c>
      <c r="E57" s="4" t="s">
        <v>6</v>
      </c>
      <c r="F57" s="12"/>
      <c r="G57" s="20"/>
    </row>
    <row r="58" spans="2:7" s="10" customFormat="1" ht="31.5" x14ac:dyDescent="0.3">
      <c r="B58" s="35" t="s">
        <v>33</v>
      </c>
      <c r="C58" s="36"/>
      <c r="D58" s="9">
        <f>IFERROR(D17+D26+D39+D48+D57, 0)</f>
        <v>0</v>
      </c>
      <c r="E58" s="11" t="s">
        <v>34</v>
      </c>
      <c r="F58" s="9"/>
      <c r="G58" s="23"/>
    </row>
    <row r="59" spans="2:7" ht="27" thickBot="1" x14ac:dyDescent="0.35">
      <c r="B59" s="37"/>
      <c r="C59" s="38"/>
      <c r="D59" s="42" t="str">
        <f>IF(D58&gt;=18,"매우성공적",IF(D58&gt;=14,"성공적",IF(D58&gt;=10,"부분성공적",IF(8&gt;D58,"미흡"))))</f>
        <v>미흡</v>
      </c>
      <c r="E59" s="42"/>
      <c r="F59" s="24"/>
      <c r="G59" s="25"/>
    </row>
  </sheetData>
  <mergeCells count="49">
    <mergeCell ref="B26:C26"/>
    <mergeCell ref="B17:C17"/>
    <mergeCell ref="C18:C21"/>
    <mergeCell ref="D18:D21"/>
    <mergeCell ref="E18:E21"/>
    <mergeCell ref="D22:D25"/>
    <mergeCell ref="E22:E25"/>
    <mergeCell ref="C22:C25"/>
    <mergeCell ref="B18:B25"/>
    <mergeCell ref="B2:G2"/>
    <mergeCell ref="B6:G6"/>
    <mergeCell ref="C9:C12"/>
    <mergeCell ref="D9:D12"/>
    <mergeCell ref="E9:E12"/>
    <mergeCell ref="C4:E4"/>
    <mergeCell ref="C5:E5"/>
    <mergeCell ref="B9:B16"/>
    <mergeCell ref="C13:C16"/>
    <mergeCell ref="D13:D16"/>
    <mergeCell ref="E13:E16"/>
    <mergeCell ref="B58:C59"/>
    <mergeCell ref="D35:D38"/>
    <mergeCell ref="E35:E38"/>
    <mergeCell ref="B40:B47"/>
    <mergeCell ref="B39:C39"/>
    <mergeCell ref="C40:C43"/>
    <mergeCell ref="C44:C47"/>
    <mergeCell ref="B48:C48"/>
    <mergeCell ref="B49:B56"/>
    <mergeCell ref="C49:C52"/>
    <mergeCell ref="C53:C56"/>
    <mergeCell ref="B57:C57"/>
    <mergeCell ref="D59:E59"/>
    <mergeCell ref="D40:D43"/>
    <mergeCell ref="D44:D47"/>
    <mergeCell ref="D49:D52"/>
    <mergeCell ref="C27:C30"/>
    <mergeCell ref="D27:D30"/>
    <mergeCell ref="E27:E30"/>
    <mergeCell ref="C35:C38"/>
    <mergeCell ref="B27:B38"/>
    <mergeCell ref="C31:C34"/>
    <mergeCell ref="D31:D34"/>
    <mergeCell ref="E31:E34"/>
    <mergeCell ref="D53:D56"/>
    <mergeCell ref="E40:E43"/>
    <mergeCell ref="E44:E47"/>
    <mergeCell ref="E49:E52"/>
    <mergeCell ref="E53:E56"/>
  </mergeCells>
  <phoneticPr fontId="1" type="noConversion"/>
  <dataValidations disablePrompts="1" count="1">
    <dataValidation type="whole" allowBlank="1" showInputMessage="1" showErrorMessage="1" sqref="D9:D16 D18:D25" xr:uid="{FCAB5897-E218-4E0A-8AE5-6C6474FD8410}">
      <formula1>1</formula1>
      <formula2>4</formula2>
    </dataValidation>
  </dataValidations>
  <pageMargins left="0.25" right="0.25" top="0.75" bottom="0.75" header="0.3" footer="0.3"/>
  <pageSetup paperSize="9" scale="42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CE19-03E2-404E-B4C7-BA0BF0766E2D}">
  <sheetPr>
    <pageSetUpPr fitToPage="1"/>
  </sheetPr>
  <dimension ref="B1:G64"/>
  <sheetViews>
    <sheetView zoomScale="85" zoomScaleNormal="85" workbookViewId="0">
      <selection activeCell="B3" sqref="B3"/>
    </sheetView>
  </sheetViews>
  <sheetFormatPr defaultRowHeight="16.5" x14ac:dyDescent="0.3"/>
  <cols>
    <col min="1" max="1" width="6" customWidth="1"/>
    <col min="2" max="2" width="30.75" customWidth="1"/>
    <col min="3" max="3" width="80.25" customWidth="1"/>
    <col min="4" max="5" width="12.75" customWidth="1"/>
    <col min="6" max="6" width="11.75" style="1" customWidth="1"/>
    <col min="7" max="7" width="81.875" customWidth="1"/>
  </cols>
  <sheetData>
    <row r="1" spans="2:7" ht="17.25" thickBot="1" x14ac:dyDescent="0.35"/>
    <row r="2" spans="2:7" ht="77.25" customHeight="1" thickBot="1" x14ac:dyDescent="0.35">
      <c r="B2" s="43" t="s">
        <v>87</v>
      </c>
      <c r="C2" s="44"/>
      <c r="D2" s="44"/>
      <c r="E2" s="44"/>
      <c r="F2" s="44"/>
      <c r="G2" s="45"/>
    </row>
    <row r="4" spans="2:7" s="6" customFormat="1" ht="24" x14ac:dyDescent="0.3">
      <c r="B4" s="7" t="s">
        <v>0</v>
      </c>
      <c r="C4" s="49"/>
      <c r="D4" s="49"/>
      <c r="E4" s="49"/>
      <c r="F4" s="8"/>
    </row>
    <row r="5" spans="2:7" s="6" customFormat="1" ht="24" x14ac:dyDescent="0.3">
      <c r="B5" s="7" t="s">
        <v>1</v>
      </c>
      <c r="C5" s="49"/>
      <c r="D5" s="49"/>
      <c r="E5" s="49"/>
      <c r="F5" s="8"/>
    </row>
    <row r="6" spans="2:7" s="6" customFormat="1" ht="143.25" customHeight="1" x14ac:dyDescent="0.3">
      <c r="B6" s="46" t="s">
        <v>59</v>
      </c>
      <c r="C6" s="46"/>
      <c r="D6" s="46"/>
      <c r="E6" s="46"/>
      <c r="F6" s="46"/>
      <c r="G6" s="46"/>
    </row>
    <row r="7" spans="2:7" ht="17.25" thickBot="1" x14ac:dyDescent="0.35"/>
    <row r="8" spans="2:7" s="6" customFormat="1" ht="48" x14ac:dyDescent="0.3">
      <c r="B8" s="13" t="s">
        <v>2</v>
      </c>
      <c r="C8" s="14" t="s">
        <v>3</v>
      </c>
      <c r="D8" s="14" t="s">
        <v>19</v>
      </c>
      <c r="E8" s="14" t="s">
        <v>5</v>
      </c>
      <c r="F8" s="15" t="s">
        <v>8</v>
      </c>
      <c r="G8" s="16" t="s">
        <v>9</v>
      </c>
    </row>
    <row r="9" spans="2:7" ht="33" x14ac:dyDescent="0.3">
      <c r="B9" s="39" t="s">
        <v>4</v>
      </c>
      <c r="C9" s="47" t="s">
        <v>60</v>
      </c>
      <c r="D9" s="27"/>
      <c r="E9" s="28" t="s">
        <v>6</v>
      </c>
      <c r="F9" s="3" t="s">
        <v>11</v>
      </c>
      <c r="G9" s="17" t="s">
        <v>10</v>
      </c>
    </row>
    <row r="10" spans="2:7" ht="33" x14ac:dyDescent="0.3">
      <c r="B10" s="39"/>
      <c r="C10" s="48"/>
      <c r="D10" s="27"/>
      <c r="E10" s="28"/>
      <c r="F10" s="3" t="s">
        <v>12</v>
      </c>
      <c r="G10" s="26" t="s">
        <v>70</v>
      </c>
    </row>
    <row r="11" spans="2:7" ht="33" x14ac:dyDescent="0.3">
      <c r="B11" s="39"/>
      <c r="C11" s="48"/>
      <c r="D11" s="27"/>
      <c r="E11" s="28"/>
      <c r="F11" s="3" t="s">
        <v>13</v>
      </c>
      <c r="G11" s="26" t="s">
        <v>71</v>
      </c>
    </row>
    <row r="12" spans="2:7" ht="49.5" x14ac:dyDescent="0.3">
      <c r="B12" s="39"/>
      <c r="C12" s="48"/>
      <c r="D12" s="27"/>
      <c r="E12" s="28"/>
      <c r="F12" s="3" t="s">
        <v>14</v>
      </c>
      <c r="G12" s="19" t="s">
        <v>50</v>
      </c>
    </row>
    <row r="13" spans="2:7" ht="33" x14ac:dyDescent="0.3">
      <c r="B13" s="39"/>
      <c r="C13" s="29" t="s">
        <v>25</v>
      </c>
      <c r="D13" s="27"/>
      <c r="E13" s="28" t="s">
        <v>6</v>
      </c>
      <c r="F13" s="3" t="s">
        <v>11</v>
      </c>
      <c r="G13" s="19" t="s">
        <v>15</v>
      </c>
    </row>
    <row r="14" spans="2:7" ht="33" x14ac:dyDescent="0.3">
      <c r="B14" s="39"/>
      <c r="C14" s="30"/>
      <c r="D14" s="27"/>
      <c r="E14" s="28"/>
      <c r="F14" s="2" t="s">
        <v>12</v>
      </c>
      <c r="G14" s="19" t="s">
        <v>69</v>
      </c>
    </row>
    <row r="15" spans="2:7" ht="49.5" x14ac:dyDescent="0.3">
      <c r="B15" s="39"/>
      <c r="C15" s="30"/>
      <c r="D15" s="27"/>
      <c r="E15" s="28"/>
      <c r="F15" s="2" t="s">
        <v>13</v>
      </c>
      <c r="G15" s="19" t="s">
        <v>16</v>
      </c>
    </row>
    <row r="16" spans="2:7" ht="66" x14ac:dyDescent="0.3">
      <c r="B16" s="39"/>
      <c r="C16" s="30"/>
      <c r="D16" s="27"/>
      <c r="E16" s="28"/>
      <c r="F16" s="2" t="s">
        <v>14</v>
      </c>
      <c r="G16" s="19" t="s">
        <v>77</v>
      </c>
    </row>
    <row r="17" spans="2:7" ht="24" x14ac:dyDescent="0.3">
      <c r="B17" s="40" t="s">
        <v>17</v>
      </c>
      <c r="C17" s="41"/>
      <c r="D17" s="5" t="str">
        <f>IFERROR((AVERAGE(D9:D16))*0.75,"미입력")</f>
        <v>미입력</v>
      </c>
      <c r="E17" s="4" t="s">
        <v>86</v>
      </c>
      <c r="F17" s="12"/>
      <c r="G17" s="20"/>
    </row>
    <row r="18" spans="2:7" ht="66" customHeight="1" x14ac:dyDescent="0.3">
      <c r="B18" s="39" t="s">
        <v>18</v>
      </c>
      <c r="C18" s="29" t="s">
        <v>58</v>
      </c>
      <c r="D18" s="27"/>
      <c r="E18" s="28" t="s">
        <v>6</v>
      </c>
      <c r="F18" s="3" t="s">
        <v>11</v>
      </c>
      <c r="G18" s="19" t="s">
        <v>73</v>
      </c>
    </row>
    <row r="19" spans="2:7" ht="82.5" x14ac:dyDescent="0.3">
      <c r="B19" s="39"/>
      <c r="C19" s="30"/>
      <c r="D19" s="27"/>
      <c r="E19" s="28"/>
      <c r="F19" s="3" t="s">
        <v>12</v>
      </c>
      <c r="G19" s="21" t="s">
        <v>74</v>
      </c>
    </row>
    <row r="20" spans="2:7" ht="99" x14ac:dyDescent="0.3">
      <c r="B20" s="39"/>
      <c r="C20" s="30"/>
      <c r="D20" s="27"/>
      <c r="E20" s="28"/>
      <c r="F20" s="3" t="s">
        <v>13</v>
      </c>
      <c r="G20" s="18" t="s">
        <v>38</v>
      </c>
    </row>
    <row r="21" spans="2:7" ht="33" x14ac:dyDescent="0.3">
      <c r="B21" s="39"/>
      <c r="C21" s="30"/>
      <c r="D21" s="27"/>
      <c r="E21" s="28"/>
      <c r="F21" s="3" t="s">
        <v>14</v>
      </c>
      <c r="G21" s="18" t="s">
        <v>20</v>
      </c>
    </row>
    <row r="22" spans="2:7" ht="66" x14ac:dyDescent="0.3">
      <c r="B22" s="39"/>
      <c r="C22" s="29" t="s">
        <v>57</v>
      </c>
      <c r="D22" s="27"/>
      <c r="E22" s="28" t="s">
        <v>6</v>
      </c>
      <c r="F22" s="3" t="s">
        <v>11</v>
      </c>
      <c r="G22" s="19" t="s">
        <v>55</v>
      </c>
    </row>
    <row r="23" spans="2:7" ht="82.5" x14ac:dyDescent="0.3">
      <c r="B23" s="39"/>
      <c r="C23" s="30"/>
      <c r="D23" s="27"/>
      <c r="E23" s="28"/>
      <c r="F23" s="3" t="s">
        <v>12</v>
      </c>
      <c r="G23" s="21" t="s">
        <v>74</v>
      </c>
    </row>
    <row r="24" spans="2:7" ht="99" x14ac:dyDescent="0.3">
      <c r="B24" s="39"/>
      <c r="C24" s="30"/>
      <c r="D24" s="27"/>
      <c r="E24" s="28"/>
      <c r="F24" s="3" t="s">
        <v>13</v>
      </c>
      <c r="G24" s="18" t="s">
        <v>38</v>
      </c>
    </row>
    <row r="25" spans="2:7" ht="33" x14ac:dyDescent="0.3">
      <c r="B25" s="39"/>
      <c r="C25" s="30"/>
      <c r="D25" s="27"/>
      <c r="E25" s="28"/>
      <c r="F25" s="3" t="s">
        <v>14</v>
      </c>
      <c r="G25" s="18" t="s">
        <v>20</v>
      </c>
    </row>
    <row r="26" spans="2:7" ht="24" x14ac:dyDescent="0.3">
      <c r="B26" s="40" t="s">
        <v>21</v>
      </c>
      <c r="C26" s="41"/>
      <c r="D26" s="5" t="str">
        <f>IFERROR((AVERAGE(D18:D25))*0.75,"미입력")</f>
        <v>미입력</v>
      </c>
      <c r="E26" s="4" t="s">
        <v>86</v>
      </c>
      <c r="F26" s="12"/>
      <c r="G26" s="20"/>
    </row>
    <row r="27" spans="2:7" ht="33" x14ac:dyDescent="0.3">
      <c r="B27" s="33" t="s">
        <v>22</v>
      </c>
      <c r="C27" s="29" t="s">
        <v>62</v>
      </c>
      <c r="D27" s="27"/>
      <c r="E27" s="28" t="s">
        <v>6</v>
      </c>
      <c r="F27" s="3" t="s">
        <v>11</v>
      </c>
      <c r="G27" s="18" t="s">
        <v>63</v>
      </c>
    </row>
    <row r="28" spans="2:7" ht="33" x14ac:dyDescent="0.3">
      <c r="B28" s="34"/>
      <c r="C28" s="30"/>
      <c r="D28" s="27"/>
      <c r="E28" s="28"/>
      <c r="F28" s="3" t="s">
        <v>12</v>
      </c>
      <c r="G28" s="18" t="s">
        <v>75</v>
      </c>
    </row>
    <row r="29" spans="2:7" ht="33" x14ac:dyDescent="0.3">
      <c r="B29" s="34"/>
      <c r="C29" s="30"/>
      <c r="D29" s="27"/>
      <c r="E29" s="28"/>
      <c r="F29" s="3" t="s">
        <v>13</v>
      </c>
      <c r="G29" s="18" t="s">
        <v>61</v>
      </c>
    </row>
    <row r="30" spans="2:7" ht="33" x14ac:dyDescent="0.3">
      <c r="B30" s="34"/>
      <c r="C30" s="30"/>
      <c r="D30" s="27"/>
      <c r="E30" s="28"/>
      <c r="F30" s="3" t="s">
        <v>14</v>
      </c>
      <c r="G30" s="18" t="s">
        <v>64</v>
      </c>
    </row>
    <row r="31" spans="2:7" ht="33" x14ac:dyDescent="0.3">
      <c r="B31" s="34"/>
      <c r="C31" s="29" t="s">
        <v>72</v>
      </c>
      <c r="D31" s="27"/>
      <c r="E31" s="28" t="s">
        <v>6</v>
      </c>
      <c r="F31" s="3" t="s">
        <v>11</v>
      </c>
      <c r="G31" s="18" t="s">
        <v>68</v>
      </c>
    </row>
    <row r="32" spans="2:7" ht="33" x14ac:dyDescent="0.3">
      <c r="B32" s="34"/>
      <c r="C32" s="30"/>
      <c r="D32" s="27"/>
      <c r="E32" s="28"/>
      <c r="F32" s="3" t="s">
        <v>12</v>
      </c>
      <c r="G32" s="18" t="s">
        <v>76</v>
      </c>
    </row>
    <row r="33" spans="2:7" ht="33" x14ac:dyDescent="0.3">
      <c r="B33" s="34"/>
      <c r="C33" s="30"/>
      <c r="D33" s="27"/>
      <c r="E33" s="28"/>
      <c r="F33" s="3" t="s">
        <v>13</v>
      </c>
      <c r="G33" s="18" t="s">
        <v>67</v>
      </c>
    </row>
    <row r="34" spans="2:7" ht="49.5" x14ac:dyDescent="0.3">
      <c r="B34" s="34"/>
      <c r="C34" s="30"/>
      <c r="D34" s="27"/>
      <c r="E34" s="28"/>
      <c r="F34" s="3" t="s">
        <v>14</v>
      </c>
      <c r="G34" s="18" t="s">
        <v>66</v>
      </c>
    </row>
    <row r="35" spans="2:7" ht="33" x14ac:dyDescent="0.3">
      <c r="B35" s="34"/>
      <c r="C35" s="31" t="s">
        <v>65</v>
      </c>
      <c r="D35" s="27"/>
      <c r="E35" s="28" t="s">
        <v>6</v>
      </c>
      <c r="F35" s="3" t="s">
        <v>11</v>
      </c>
      <c r="G35" s="18" t="s">
        <v>37</v>
      </c>
    </row>
    <row r="36" spans="2:7" ht="33" x14ac:dyDescent="0.3">
      <c r="B36" s="34"/>
      <c r="C36" s="32"/>
      <c r="D36" s="27"/>
      <c r="E36" s="28"/>
      <c r="F36" s="3" t="s">
        <v>12</v>
      </c>
      <c r="G36" s="18" t="s">
        <v>36</v>
      </c>
    </row>
    <row r="37" spans="2:7" ht="82.5" x14ac:dyDescent="0.3">
      <c r="B37" s="34"/>
      <c r="C37" s="32"/>
      <c r="D37" s="27"/>
      <c r="E37" s="28"/>
      <c r="F37" s="3" t="s">
        <v>13</v>
      </c>
      <c r="G37" s="18" t="s">
        <v>56</v>
      </c>
    </row>
    <row r="38" spans="2:7" ht="49.5" x14ac:dyDescent="0.3">
      <c r="B38" s="34"/>
      <c r="C38" s="32"/>
      <c r="D38" s="27"/>
      <c r="E38" s="28"/>
      <c r="F38" s="3" t="s">
        <v>14</v>
      </c>
      <c r="G38" s="18" t="s">
        <v>35</v>
      </c>
    </row>
    <row r="39" spans="2:7" ht="24" x14ac:dyDescent="0.3">
      <c r="B39" s="40" t="s">
        <v>23</v>
      </c>
      <c r="C39" s="41"/>
      <c r="D39" s="5" t="str">
        <f>IFERROR(ROUND(AVERAGE(D27:D38),1),"미입력")</f>
        <v>미입력</v>
      </c>
      <c r="E39" s="4" t="s">
        <v>6</v>
      </c>
      <c r="F39" s="12"/>
      <c r="G39" s="20"/>
    </row>
    <row r="40" spans="2:7" x14ac:dyDescent="0.3">
      <c r="B40" s="39" t="s">
        <v>27</v>
      </c>
      <c r="C40" s="30" t="s">
        <v>24</v>
      </c>
      <c r="D40" s="27"/>
      <c r="E40" s="28" t="s">
        <v>6</v>
      </c>
      <c r="F40" s="3" t="s">
        <v>11</v>
      </c>
      <c r="G40" s="22" t="s">
        <v>46</v>
      </c>
    </row>
    <row r="41" spans="2:7" x14ac:dyDescent="0.3">
      <c r="B41" s="39"/>
      <c r="C41" s="30"/>
      <c r="D41" s="27"/>
      <c r="E41" s="28"/>
      <c r="F41" s="3" t="s">
        <v>12</v>
      </c>
      <c r="G41" s="18" t="s">
        <v>47</v>
      </c>
    </row>
    <row r="42" spans="2:7" ht="33" x14ac:dyDescent="0.3">
      <c r="B42" s="39"/>
      <c r="C42" s="30"/>
      <c r="D42" s="27"/>
      <c r="E42" s="28"/>
      <c r="F42" s="3" t="s">
        <v>13</v>
      </c>
      <c r="G42" s="18" t="s">
        <v>48</v>
      </c>
    </row>
    <row r="43" spans="2:7" ht="49.5" x14ac:dyDescent="0.3">
      <c r="B43" s="39"/>
      <c r="C43" s="30"/>
      <c r="D43" s="27"/>
      <c r="E43" s="28"/>
      <c r="F43" s="3" t="s">
        <v>14</v>
      </c>
      <c r="G43" s="18" t="s">
        <v>49</v>
      </c>
    </row>
    <row r="44" spans="2:7" ht="33" x14ac:dyDescent="0.3">
      <c r="B44" s="39"/>
      <c r="C44" s="29" t="s">
        <v>26</v>
      </c>
      <c r="D44" s="27"/>
      <c r="E44" s="28" t="s">
        <v>6</v>
      </c>
      <c r="F44" s="3" t="s">
        <v>11</v>
      </c>
      <c r="G44" s="18" t="s">
        <v>52</v>
      </c>
    </row>
    <row r="45" spans="2:7" ht="33" x14ac:dyDescent="0.3">
      <c r="B45" s="39"/>
      <c r="C45" s="30"/>
      <c r="D45" s="27"/>
      <c r="E45" s="28"/>
      <c r="F45" s="3" t="s">
        <v>12</v>
      </c>
      <c r="G45" s="18" t="s">
        <v>54</v>
      </c>
    </row>
    <row r="46" spans="2:7" ht="33" x14ac:dyDescent="0.3">
      <c r="B46" s="39"/>
      <c r="C46" s="30"/>
      <c r="D46" s="27"/>
      <c r="E46" s="28"/>
      <c r="F46" s="3" t="s">
        <v>13</v>
      </c>
      <c r="G46" s="18" t="s">
        <v>53</v>
      </c>
    </row>
    <row r="47" spans="2:7" ht="33" x14ac:dyDescent="0.3">
      <c r="B47" s="39"/>
      <c r="C47" s="30"/>
      <c r="D47" s="27"/>
      <c r="E47" s="28"/>
      <c r="F47" s="3" t="s">
        <v>14</v>
      </c>
      <c r="G47" s="18" t="s">
        <v>51</v>
      </c>
    </row>
    <row r="48" spans="2:7" ht="24" x14ac:dyDescent="0.3">
      <c r="B48" s="40" t="s">
        <v>28</v>
      </c>
      <c r="C48" s="41"/>
      <c r="D48" s="5" t="str">
        <f>IFERROR((AVERAGE(D40:D47))*0.75,"미입력")</f>
        <v>미입력</v>
      </c>
      <c r="E48" s="4" t="s">
        <v>86</v>
      </c>
      <c r="F48" s="12"/>
      <c r="G48" s="20"/>
    </row>
    <row r="49" spans="2:7" ht="57" customHeight="1" x14ac:dyDescent="0.3">
      <c r="B49" s="39" t="s">
        <v>29</v>
      </c>
      <c r="C49" s="29" t="s">
        <v>30</v>
      </c>
      <c r="D49" s="27"/>
      <c r="E49" s="28" t="s">
        <v>6</v>
      </c>
      <c r="F49" s="3" t="s">
        <v>11</v>
      </c>
      <c r="G49" s="18" t="s">
        <v>41</v>
      </c>
    </row>
    <row r="50" spans="2:7" ht="53.25" customHeight="1" x14ac:dyDescent="0.3">
      <c r="B50" s="39"/>
      <c r="C50" s="30"/>
      <c r="D50" s="27"/>
      <c r="E50" s="28"/>
      <c r="F50" s="3" t="s">
        <v>12</v>
      </c>
      <c r="G50" s="18" t="s">
        <v>40</v>
      </c>
    </row>
    <row r="51" spans="2:7" ht="89.25" customHeight="1" x14ac:dyDescent="0.3">
      <c r="B51" s="39"/>
      <c r="C51" s="30"/>
      <c r="D51" s="27"/>
      <c r="E51" s="28"/>
      <c r="F51" s="3" t="s">
        <v>13</v>
      </c>
      <c r="G51" s="18" t="s">
        <v>78</v>
      </c>
    </row>
    <row r="52" spans="2:7" ht="49.5" x14ac:dyDescent="0.3">
      <c r="B52" s="39"/>
      <c r="C52" s="30"/>
      <c r="D52" s="27"/>
      <c r="E52" s="28"/>
      <c r="F52" s="3" t="s">
        <v>14</v>
      </c>
      <c r="G52" s="18" t="s">
        <v>39</v>
      </c>
    </row>
    <row r="53" spans="2:7" ht="16.5" customHeight="1" x14ac:dyDescent="0.3">
      <c r="B53" s="39"/>
      <c r="C53" s="29" t="s">
        <v>31</v>
      </c>
      <c r="D53" s="27"/>
      <c r="E53" s="28" t="s">
        <v>6</v>
      </c>
      <c r="F53" s="3" t="s">
        <v>11</v>
      </c>
      <c r="G53" s="22" t="s">
        <v>45</v>
      </c>
    </row>
    <row r="54" spans="2:7" ht="33" x14ac:dyDescent="0.3">
      <c r="B54" s="39"/>
      <c r="C54" s="30"/>
      <c r="D54" s="27"/>
      <c r="E54" s="28"/>
      <c r="F54" s="3" t="s">
        <v>12</v>
      </c>
      <c r="G54" s="18" t="s">
        <v>44</v>
      </c>
    </row>
    <row r="55" spans="2:7" ht="33" x14ac:dyDescent="0.3">
      <c r="B55" s="39"/>
      <c r="C55" s="30"/>
      <c r="D55" s="27"/>
      <c r="E55" s="28"/>
      <c r="F55" s="3" t="s">
        <v>13</v>
      </c>
      <c r="G55" s="18" t="s">
        <v>43</v>
      </c>
    </row>
    <row r="56" spans="2:7" ht="33" x14ac:dyDescent="0.3">
      <c r="B56" s="39"/>
      <c r="C56" s="30"/>
      <c r="D56" s="27"/>
      <c r="E56" s="28"/>
      <c r="F56" s="3" t="s">
        <v>14</v>
      </c>
      <c r="G56" s="18" t="s">
        <v>42</v>
      </c>
    </row>
    <row r="57" spans="2:7" ht="24" x14ac:dyDescent="0.3">
      <c r="B57" s="40" t="s">
        <v>32</v>
      </c>
      <c r="C57" s="41"/>
      <c r="D57" s="5" t="str">
        <f>IFERROR((AVERAGE(D49:D56))*0.75,"미입력")</f>
        <v>미입력</v>
      </c>
      <c r="E57" s="4" t="s">
        <v>86</v>
      </c>
      <c r="F57" s="12"/>
      <c r="G57" s="20"/>
    </row>
    <row r="58" spans="2:7" ht="33" x14ac:dyDescent="0.3">
      <c r="B58" s="50" t="s">
        <v>79</v>
      </c>
      <c r="C58" s="29" t="s">
        <v>81</v>
      </c>
      <c r="D58" s="27"/>
      <c r="E58" s="28" t="s">
        <v>6</v>
      </c>
      <c r="F58" s="3" t="s">
        <v>11</v>
      </c>
      <c r="G58" s="18" t="s">
        <v>82</v>
      </c>
    </row>
    <row r="59" spans="2:7" ht="33" x14ac:dyDescent="0.3">
      <c r="B59" s="51"/>
      <c r="C59" s="30"/>
      <c r="D59" s="27"/>
      <c r="E59" s="28"/>
      <c r="F59" s="3" t="s">
        <v>12</v>
      </c>
      <c r="G59" s="18" t="s">
        <v>83</v>
      </c>
    </row>
    <row r="60" spans="2:7" ht="33" x14ac:dyDescent="0.3">
      <c r="B60" s="51"/>
      <c r="C60" s="30"/>
      <c r="D60" s="27"/>
      <c r="E60" s="28"/>
      <c r="F60" s="3" t="s">
        <v>13</v>
      </c>
      <c r="G60" s="18" t="s">
        <v>84</v>
      </c>
    </row>
    <row r="61" spans="2:7" ht="49.5" x14ac:dyDescent="0.3">
      <c r="B61" s="52"/>
      <c r="C61" s="30"/>
      <c r="D61" s="27"/>
      <c r="E61" s="28"/>
      <c r="F61" s="3" t="s">
        <v>14</v>
      </c>
      <c r="G61" s="18" t="s">
        <v>85</v>
      </c>
    </row>
    <row r="62" spans="2:7" ht="24" x14ac:dyDescent="0.3">
      <c r="B62" s="40" t="s">
        <v>80</v>
      </c>
      <c r="C62" s="41"/>
      <c r="D62" s="5">
        <f>IFERROR(D58,"미입력")</f>
        <v>0</v>
      </c>
      <c r="E62" s="4" t="s">
        <v>6</v>
      </c>
      <c r="F62" s="12"/>
      <c r="G62" s="20"/>
    </row>
    <row r="63" spans="2:7" s="10" customFormat="1" ht="31.5" x14ac:dyDescent="0.3">
      <c r="B63" s="35" t="s">
        <v>33</v>
      </c>
      <c r="C63" s="36"/>
      <c r="D63" s="9">
        <f>IFERROR(D17+D26+D39+D48+D57+D62, 0)</f>
        <v>0</v>
      </c>
      <c r="E63" s="11" t="s">
        <v>34</v>
      </c>
      <c r="F63" s="9"/>
      <c r="G63" s="23"/>
    </row>
    <row r="64" spans="2:7" ht="27" thickBot="1" x14ac:dyDescent="0.35">
      <c r="B64" s="37"/>
      <c r="C64" s="38"/>
      <c r="D64" s="42" t="str">
        <f>IF(D63&gt;=18,"매우성공적",IF(D63&gt;=14,"성공적",IF(D63&gt;=10,"부분성공적",IF(8&gt;D63,"미흡"))))</f>
        <v>미흡</v>
      </c>
      <c r="E64" s="42"/>
      <c r="F64" s="24"/>
      <c r="G64" s="25"/>
    </row>
  </sheetData>
  <mergeCells count="54">
    <mergeCell ref="B57:C57"/>
    <mergeCell ref="B63:C64"/>
    <mergeCell ref="D64:E64"/>
    <mergeCell ref="C58:C61"/>
    <mergeCell ref="D58:D61"/>
    <mergeCell ref="E58:E61"/>
    <mergeCell ref="B62:C62"/>
    <mergeCell ref="B58:B61"/>
    <mergeCell ref="B48:C48"/>
    <mergeCell ref="B49:B56"/>
    <mergeCell ref="C49:C52"/>
    <mergeCell ref="D49:D52"/>
    <mergeCell ref="E49:E52"/>
    <mergeCell ref="C53:C56"/>
    <mergeCell ref="D53:D56"/>
    <mergeCell ref="E53:E56"/>
    <mergeCell ref="E35:E38"/>
    <mergeCell ref="B39:C39"/>
    <mergeCell ref="B40:B47"/>
    <mergeCell ref="C40:C43"/>
    <mergeCell ref="D40:D43"/>
    <mergeCell ref="E40:E43"/>
    <mergeCell ref="C44:C47"/>
    <mergeCell ref="D44:D47"/>
    <mergeCell ref="E44:E47"/>
    <mergeCell ref="B26:C26"/>
    <mergeCell ref="B27:B38"/>
    <mergeCell ref="C27:C30"/>
    <mergeCell ref="D27:D30"/>
    <mergeCell ref="E27:E30"/>
    <mergeCell ref="C31:C34"/>
    <mergeCell ref="D31:D34"/>
    <mergeCell ref="E31:E34"/>
    <mergeCell ref="C35:C38"/>
    <mergeCell ref="D35:D38"/>
    <mergeCell ref="E13:E16"/>
    <mergeCell ref="B17:C17"/>
    <mergeCell ref="B18:B25"/>
    <mergeCell ref="C18:C21"/>
    <mergeCell ref="D18:D21"/>
    <mergeCell ref="E18:E21"/>
    <mergeCell ref="C22:C25"/>
    <mergeCell ref="D22:D25"/>
    <mergeCell ref="E22:E25"/>
    <mergeCell ref="B2:G2"/>
    <mergeCell ref="C4:E4"/>
    <mergeCell ref="C5:E5"/>
    <mergeCell ref="B6:G6"/>
    <mergeCell ref="B9:B16"/>
    <mergeCell ref="C9:C12"/>
    <mergeCell ref="D9:D12"/>
    <mergeCell ref="E9:E12"/>
    <mergeCell ref="C13:C16"/>
    <mergeCell ref="D13:D16"/>
  </mergeCells>
  <phoneticPr fontId="1" type="noConversion"/>
  <dataValidations count="1">
    <dataValidation type="whole" allowBlank="1" showInputMessage="1" showErrorMessage="1" sqref="D9:D16 D18:D25" xr:uid="{A27DF325-C34D-4C60-AF36-B1E01E1B6857}">
      <formula1>1</formula1>
      <formula2>4</formula2>
    </dataValidation>
  </dataValidations>
  <pageMargins left="0.25" right="0.25" top="0.75" bottom="0.75" header="0.3" footer="0.3"/>
  <pageSetup paperSize="9" scale="42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종료평가용</vt:lpstr>
      <vt:lpstr>사후평가용</vt:lpstr>
      <vt:lpstr>사후평가용!Print_Area</vt:lpstr>
      <vt:lpstr>종료평가용!Print_Area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koica</dc:creator>
  <cp:lastModifiedBy>koica</cp:lastModifiedBy>
  <cp:lastPrinted>2023-05-31T07:24:29Z</cp:lastPrinted>
  <dcterms:created xsi:type="dcterms:W3CDTF">2023-05-30T01:40:14Z</dcterms:created>
  <dcterms:modified xsi:type="dcterms:W3CDTF">2024-03-07T02:19:24Z</dcterms:modified>
</cp:coreProperties>
</file>