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종료평가용" sheetId="1" r:id="rId4"/>
    <sheet state="visible" name="사후평가용" sheetId="2" r:id="rId5"/>
    <sheet state="visible" name="질문별 결과" sheetId="3" r:id="rId6"/>
    <sheet state="visible" name="세부평가 입력" sheetId="4" r:id="rId7"/>
    <sheet state="visible" name="기준 설정" sheetId="5" r:id="rId8"/>
  </sheets>
  <definedNames/>
  <calcPr/>
  <extLst>
    <ext uri="GoogleSheetsCustomDataVersion2">
      <go:sheetsCustomData xmlns:go="http://customooxmlschemas.google.com/" r:id="rId9" roundtripDataChecksum="D6Tow2a9PMtXHUei2JtuhPOKvJTNZjGLbrHDhEbRzZA="/>
    </ext>
  </extLst>
</workbook>
</file>

<file path=xl/sharedStrings.xml><?xml version="1.0" encoding="utf-8"?>
<sst xmlns="http://schemas.openxmlformats.org/spreadsheetml/2006/main" count="2462" uniqueCount="680">
  <si>
    <t>KOICA 종료평가 | 질문별 자동산출 결과</t>
  </si>
  <si>
    <t>Merit와 증거품질을 분리 계산한 뒤 Coverage·Gate·Red Flag 상한을 적용합니다. O열의 수동 Override는 평가자 합의점수 입력용입니다.</t>
  </si>
  <si>
    <t>Rubric Version</t>
  </si>
  <si>
    <t>ODA-EARS v1.4</t>
  </si>
  <si>
    <t>산출일</t>
  </si>
  <si>
    <t>2026-09-16</t>
  </si>
  <si>
    <t>평가기준</t>
  </si>
  <si>
    <t>질문ID</t>
  </si>
  <si>
    <t>핵심질문</t>
  </si>
  <si>
    <t>Merit</t>
  </si>
  <si>
    <t>Coverage</t>
  </si>
  <si>
    <t>Evidence DQ</t>
  </si>
  <si>
    <t>Confidence</t>
  </si>
  <si>
    <t>KOICA 종료평가 | 세부평가 입력</t>
  </si>
  <si>
    <t>기본점수</t>
  </si>
  <si>
    <t>Coverage 상한</t>
  </si>
  <si>
    <t>Gate 상태</t>
  </si>
  <si>
    <t>Gate 상한</t>
  </si>
  <si>
    <t>Red Flag</t>
  </si>
  <si>
    <t>Red Flag 상한</t>
  </si>
  <si>
    <t>추천점수</t>
  </si>
  <si>
    <t>수동 Override</t>
  </si>
  <si>
    <t>최종점수</t>
  </si>
  <si>
    <t>상태</t>
  </si>
  <si>
    <t>Evidence Gap</t>
  </si>
  <si>
    <t>Trace ID</t>
  </si>
  <si>
    <t>1. 적절성</t>
  </si>
  <si>
    <t>Q1.1</t>
  </si>
  <si>
    <t>이해관계자의 수요와 우선순위를 반영하여 설계되었는가?</t>
  </si>
  <si>
    <t>이 시트는 자동 계산·감사로그입니다. 실제 입력은 ‘종료평가용’ 우측의 증빙 체크란(☐/☑), 증빙 위치·메모, Red Flag에서 수행합니다.</t>
  </si>
  <si>
    <t>KOICA 종료평가 평가등급표</t>
  </si>
  <si>
    <t>KOICA 사후평가 평가등급표</t>
  </si>
  <si>
    <t>증빙 미체크=ND, 증빙 체크 후 세부 확인 0개=0.00, 1~2개=0.33, 3~4개=0.67, 5개=1.00입니다. 항목점수와 최종 1~4점은 자동 반영됩니다.</t>
  </si>
  <si>
    <t>지표ID</t>
  </si>
  <si>
    <t>세부 평가항목</t>
  </si>
  <si>
    <t>가중치(%)</t>
  </si>
  <si>
    <t>사업명:</t>
  </si>
  <si>
    <t>자동 원자판정</t>
  </si>
  <si>
    <t>판정값</t>
  </si>
  <si>
    <t>신뢰성 R</t>
  </si>
  <si>
    <t>직접성 D</t>
  </si>
  <si>
    <t>사후평가 세부배점 표준화 결과(자동연계)</t>
  </si>
  <si>
    <t>세부배점 표준화 결과(자동연계)</t>
  </si>
  <si>
    <t>추적성 T</t>
  </si>
  <si>
    <t>교차검증 G</t>
  </si>
  <si>
    <t>12개 사후평가 질문별 객관화 판정기준·증빙체크 자동점수</t>
  </si>
  <si>
    <t>11개 질문별 객관화 판정기준·증빙체크 자동점수</t>
  </si>
  <si>
    <t>시의성·한계</t>
  </si>
  <si>
    <t>평가수행기관(평가책임자):</t>
  </si>
  <si>
    <t>가중 Merit</t>
  </si>
  <si>
    <t>관측가중치</t>
  </si>
  <si>
    <t>우측 증빙 체크란 입력 시 아래 결과가 자동 갱신됩니다. 최종점수는 기존 평가표의 점수(1~4점)와 연결됩니다.</t>
  </si>
  <si>
    <t>우측 증빙 체크란 입력 시 12개 질문의 점수와 6개 DAC 기준별 가중점수, 총점(/20점)이 자동 갱신됩니다.</t>
  </si>
  <si>
    <t>유효증거가중치</t>
  </si>
  <si>
    <t>각 질문은 5개 확인항목, 항목별 동일가중 20%(질문별 1점 환산 시 최대 0.20점)입니다. 노란색 체크·메모·Red Flag 셀만 입력합니다.</t>
  </si>
  <si>
    <t>DQ가중치</t>
  </si>
  <si>
    <t>권장 근거</t>
  </si>
  <si>
    <t>※ 평가등급 산정 시 유의사항(작성 시 삭제)
- 4점: 사업에서 의도한 바를 모두 달성하였으며, 기대하지 않은 성과 및 달성사항을 확인함.
- 3점: 당초 사업에서 계획한 바를 전반적으로 양호하게 달성함.
- 2점: 일부 사업내용을 제대로 이행하거나 고려하지 못하여, 사업 성과 달성에 일부 영향을 미침.
- 1점: 대다수의 사업내용을 제대로 이행하거나 고려하지 못하여 사업 성과 달성에 명백한 부정적 영향을 미침.</t>
  </si>
  <si>
    <t>증빙 Locator·판단메모</t>
  </si>
  <si>
    <t>Gate 필수</t>
  </si>
  <si>
    <t>Gate 자동판정</t>
  </si>
  <si>
    <t>판정상태</t>
  </si>
  <si>
    <t>자동판정: 증빙 미체크=ND, 증빙 체크 후 세부확인 0개=0.00, 1~2개=0.33, 3~4개=0.67, 5개=1.00. 항목점수=자동 원자판정×0.20.</t>
  </si>
  <si>
    <t>자동판정: 증빙 미체크=ND, 증빙 체크 후 세부확인 0개=0.00, 1~2개=0.33, 3~4개=0.67, 5개=1.00. 영향력은 종료 후 장기변화·확산·기여도·비의도효과·제도전환을 확인합니다.</t>
  </si>
  <si>
    <t>공통규칙: 상위점수는 해당 요건을 모두 충족할 때만 부여. 자료 미제출은 1점이 아니라 미입증(ND). 근거가 상충하면 해소 전 판정보류.</t>
  </si>
  <si>
    <t>공통규칙: 상위점수는 해당 요건을 모두 충족할 때만 부여. 자료 미제출은 낮은 점수가 아니라 미입증(ND). 사후평가는 종료 후 추적자료와 현시점 검증자료를 우선 적용.</t>
  </si>
  <si>
    <t>RQ1_I01</t>
  </si>
  <si>
    <t>평가 기준</t>
  </si>
  <si>
    <t>한국정부·KOICA 협력전략 부합</t>
  </si>
  <si>
    <t>점수
(1~4점)</t>
  </si>
  <si>
    <t>배점</t>
  </si>
  <si>
    <t>점수구분</t>
  </si>
  <si>
    <t>참고사항</t>
  </si>
  <si>
    <t>객관화된 판정기준(확인요건·증빙)</t>
  </si>
  <si>
    <t>Gate</t>
  </si>
  <si>
    <t>적용 상한</t>
  </si>
  <si>
    <t>항목번호</t>
  </si>
  <si>
    <t>객관화된 세부 판정기준</t>
  </si>
  <si>
    <t>동일가중치</t>
  </si>
  <si>
    <t>항목당 최대점수</t>
  </si>
  <si>
    <t>필수 증빙</t>
  </si>
  <si>
    <t>판정값별 항목점수</t>
  </si>
  <si>
    <t>질문별 환산·4점 Gate</t>
  </si>
  <si>
    <t>증빙 제출</t>
  </si>
  <si>
    <t>요건 직접입증</t>
  </si>
  <si>
    <t>원자료·공식승인</t>
  </si>
  <si>
    <t>문서위치 추적</t>
  </si>
  <si>
    <t>교차검증</t>
  </si>
  <si>
    <t>시의성·중대한 한계 없음</t>
  </si>
  <si>
    <t>자동 항목점수</t>
  </si>
  <si>
    <t>체크상태</t>
  </si>
  <si>
    <t>증빙 위치·판단메모</t>
  </si>
  <si>
    <t>1.1. 사업은 당면과제 해결을 위한 이해관계자(한국정부, 수원국, 수원기관, 수혜자) 의 수요와 우선순위를 반영하여 설계되었는가?</t>
  </si>
  <si>
    <t>/4점</t>
  </si>
  <si>
    <t>1점</t>
  </si>
  <si>
    <t>한국정부(KOICA 포함) 협력전략, 수원국 정부 개발전략, 국제개발목표(SDGs 등), 사업지역 내 이해관계자 수요, 우선순위를 고려하지 않고 사업을 설계함.</t>
  </si>
  <si>
    <t>① 한국정부·KOICA 전략과 수원국 정책의 대응표가 없음. ② 수혜자·수원기관 수요조사 자료가 없음. ③ 수요가 활동·산출물에 반영된 기록이 없음. 세 조건이 모두 확인되면 1점. 자료 미제출만으로는 1점 확정 금지.</t>
  </si>
  <si>
    <t>1/5</t>
  </si>
  <si>
    <t>CPS·국가협력전략·KOICA 분야/기관전략과 사업목표 대응표</t>
  </si>
  <si>
    <t>0.00→0.000점
0.33→0.066점
0.67→0.134점
1.00→0.200점
ND→미입증</t>
  </si>
  <si>
    <t>지수 합계 &lt;0.40=1점
0.40~&lt;0.60=2점
0.60~&lt;0.80=3점
0.80~1.00=4점 후보
4점 Gate: 5개 항목 모두 1.00이고 현지 참여·수요분석·설계 추적성을 서로 다른 2종 이상 자료로 확인
상한: 정책문서만 있고 이해관계자 수요·설계반영 근거가 없으면 최대 3점</t>
  </si>
  <si>
    <t>☐</t>
  </si>
  <si>
    <t>CPS·국가협력전략·KOICA 분야/기관전략과 사업목표 대응표
1.00은 해당 요건이 완전 충족되고 문서 위치가 추적될 때만 부여</t>
  </si>
  <si>
    <t>Y</t>
  </si>
  <si>
    <t>ODA-EARS-Q1.1-v1.4</t>
  </si>
  <si>
    <t>Q1.2</t>
  </si>
  <si>
    <t>상황변화에 맞추어 사업설계를 적절히 관리·유지했는가?</t>
  </si>
  <si>
    <t>RQ1_I02</t>
  </si>
  <si>
    <t>수원국 정부 개발전략 부합</t>
  </si>
  <si>
    <t>없음</t>
  </si>
  <si>
    <t>2점</t>
  </si>
  <si>
    <t>사업 설계가 이해관계자 수요와 우선순위에 일부 부합하나 해당 수요 및 우선순위 분석방식이 전반적으로 미흡함.</t>
  </si>
  <si>
    <t>① 한국 또는 수원국 전략문서 1종 이상을 인용했거나 이해관계자 의견을 일부 수집함. ② 조사대상·표본·방법이 불명확하거나 정책·수요가 일부 활동에만 반영됨. ③ 근거가 사업수행기관 서술 1종에 한정되면 2점.</t>
  </si>
  <si>
    <t>CPS·국가협력전략·KOICA 분야/기관전략과 사업목표 대응표 · 사후평가 시점 확인자료</t>
  </si>
  <si>
    <t>국가개발계획·분야계획·정부 승인문서와 사업목표 대응표
1.00은 해당 요건이 완전 충족되고 문서 위치가 추적될 때만 부여</t>
  </si>
  <si>
    <t>RQ1_I03</t>
  </si>
  <si>
    <t>국제개발목표·규범 부합</t>
  </si>
  <si>
    <t>2/5</t>
  </si>
  <si>
    <t>국가개발계획·분야계획·정부 승인문서와 사업목표 대응표</t>
  </si>
  <si>
    <t>3점</t>
  </si>
  <si>
    <t>사업 설계가 이해관계자 수요에 전반적으로 부합하거나 상호보완적으로 작용하며, 사업지역 내 이해관계자 수요와 우선순위 분석이 이루어짐.</t>
  </si>
  <si>
    <t>① 한국정부·KOICA 전략과 수원국 정책이 사업목표와 항목별로 연결됨. ② 수혜자와 수원기관 수요를 설문·면담·FGD 중 1개 이상으로 조사함. ③ 주요 수요가 활동·산출물에 반영된 설계서·PDM·회의록이 확인되면 3점.</t>
  </si>
  <si>
    <t>Q2.1</t>
  </si>
  <si>
    <t>국내 유관사업·국제규범과 조화롭게 추진했는가?</t>
  </si>
  <si>
    <t>SDGs 세부목표·국제협약·분야규범 매핑표
1.00은 해당 요건이 완전 충족되고 문서 위치가 추적될 때만 부여</t>
  </si>
  <si>
    <t>RQ1_I04</t>
  </si>
  <si>
    <t>사업지역 이해관계자 수요 확인</t>
  </si>
  <si>
    <t>ODA-EARS-Q1.2-v1.4</t>
  </si>
  <si>
    <t>2. 일관성</t>
  </si>
  <si>
    <t>3/5</t>
  </si>
  <si>
    <t>SDGs 세부목표·국제협약·분야규범 매핑표</t>
  </si>
  <si>
    <t>4점</t>
  </si>
  <si>
    <t>3의 조건을 모두 만족하며, 사전 수요조사 및 이해관계자 분석 과정에서 현지 이해관계자의 적극적인 참여 아래 문제나무, 변화이론 분석 등의 구체적 분석방식을 통해 사업 당면과제 및 수요가 충분히 검증되고 사업에 반영됨.</t>
  </si>
  <si>
    <t>3점 요건을 모두 충족하고 ① 현지 이해관계자가 문제·대안 결정에 참여한 기록, ② 문제나무 또는 변화이론, ③ 수요→활동→산출물 추적표, ④ 서로 다른 2종 이상 자료의 교차검증이 모두 확인되면 4점.</t>
  </si>
  <si>
    <t>Q2.2</t>
  </si>
  <si>
    <t>타 공여기관·정부·민간 개입과 조화·조율했는가?</t>
  </si>
  <si>
    <t>설문·FGD·면담 원자료, 표본·대상·일자·방법 기록
1.00은 해당 요건이 완전 충족되고 문서 위치가 추적될 때만 부여</t>
  </si>
  <si>
    <t>RQ1_I05</t>
  </si>
  <si>
    <t>수요·우선순위의 사업설계 반영</t>
  </si>
  <si>
    <t>국가개발계획·분야계획·정부 승인문서와 사업목표 대응표 · 사후평가 시점 확인자료</t>
  </si>
  <si>
    <t>4/5</t>
  </si>
  <si>
    <t>설문·FGD·면담 원자료, 표본·대상·일자·방법 기록</t>
  </si>
  <si>
    <t>1.2. 내·외부 상황변화에 맞추어 사업설계를 적절히 관리 및 유지하였는가?</t>
  </si>
  <si>
    <t>사업기간 중 발생한 상황변화에 적시 대응하지 못하였으며, 이로 인해 사업성과 달성에 중대한 영향을 미침.</t>
  </si>
  <si>
    <t>수요→문제→활동→산출물·지표 추적표, PDM·ToC·설계변경 기록
1.00은 해당 요건이 완전 충족되고 문서 위치가 추적될 때만 부여</t>
  </si>
  <si>
    <t>① 주요 상황변화를 인지한 기록이 없거나 대응 착수가 필요시점보다 현저히 늦음. ② 미대응과 핵심 산출물·Outcome 미달의 연결이 변경이력·성과자료로 확인되면 1점. 단순 자료 부재는 미입증으로 처리.</t>
  </si>
  <si>
    <t>Q3.1</t>
  </si>
  <si>
    <t>직접적·일차적 산출물을 계획대로 달성했는가?</t>
  </si>
  <si>
    <t>RQ2_I01</t>
  </si>
  <si>
    <t>상황변화 식별·기록</t>
  </si>
  <si>
    <t>ODA-EARS-Q2.1-v1.4</t>
  </si>
  <si>
    <t>리스크대장·상황보고·회의록에 변화내용·발생일·인지일 기록
1.00은 해당 요건이 완전 충족되고 문서 위치가 추적될 때만 부여</t>
  </si>
  <si>
    <t>5/5</t>
  </si>
  <si>
    <t>수요→문제→활동→산출물·지표 추적표, PDM·ToC·설계변경 기록</t>
  </si>
  <si>
    <t>RQ2_I02</t>
  </si>
  <si>
    <t>위험·성과 영향 분석</t>
  </si>
  <si>
    <t>사업기간 중 발생한 상황변화에 일부 대응하였으나 도입된 대안의 실효성 및 타당성이 다소 부족하여 당초 계획된 중요 산출물이나 성과를 미달성함.</t>
  </si>
  <si>
    <t>① 상황변화를 기록하고 일부 조치를 시행함. ② 위험영향 분석·승인된 대안·담당자·기한 중 2개 이상이 없음. ③ 핵심 산출물 또는 Outcome이 미달했고 조치 효과가 검증되지 않으면 2점.</t>
  </si>
  <si>
    <t>Q3.2</t>
  </si>
  <si>
    <t>중장기 성과와 목표를 달성했거나 달성할 것으로 예상하는가?</t>
  </si>
  <si>
    <t>SDGs 세부목표·국제협약·분야규범 매핑표 · 사후평가 시점 확인자료</t>
  </si>
  <si>
    <t>리스크대장·상황보고·회의록에 변화내용·발생일·인지일 기록</t>
  </si>
  <si>
    <t>지수 합계 &lt;0.40=1점
0.40~&lt;0.60=2점
0.60~&lt;0.80=3점
0.80~1.00=4점 후보
4점 Gate: 5개 항목 모두 1.00이고 대응 적시성·실제 실행·성과보전을 확인
상한: 회의·계획 변경만 있고 실행·성과보전 근거가 없으면 최대 2점</t>
  </si>
  <si>
    <t>사업기간 중 발생한 상황변화에 △적기 대응하였으며, △발생가능한 위기 및 사업관리 영향에 대해 분석 및 이해관계자에 공유하고, △당초 계획을 보완한 실현가능한 대안책을 마련하여 실천하였으나, 당초 계획했던 성과목표의 일부만 달성됨.</t>
  </si>
  <si>
    <t>① 리스크대장에 변화·영향·담당자·기한이 기록됨. ② 회의록 또는 승인문서로 대안을 확정하고 실제 집행함. ③ 핵심 성과의 70% 이상을 달성했으나 일부 목표가 미달하면 3점.</t>
  </si>
  <si>
    <t>Q3.3</t>
  </si>
  <si>
    <t>사회적 소외계층을 포용하여 형평성 있게 성과를 달성했는가?</t>
  </si>
  <si>
    <t>위험도·영향받는 산출물/Outcome·원인·우선순위 분석서
1.00은 해당 요건이 완전 충족되고 문서 위치가 추적될 때만 부여</t>
  </si>
  <si>
    <t>RQ2_I03</t>
  </si>
  <si>
    <t>대응대안 결정·협의</t>
  </si>
  <si>
    <t>ODA-EARS-Q2.2-v1.4</t>
  </si>
  <si>
    <t>3. 효과성</t>
  </si>
  <si>
    <t>위험도·영향받는 산출물/Outcome·원인·우선순위 분석서</t>
  </si>
  <si>
    <t xml:space="preserve">사업기간 중 발생한 상황변화에 △적기 대응하였으며, △발생가능한 위기 및 사업관리 영향에 대해 분석 및 이해관계자에 공유하고, △당초 계획을 보완한 실현가능한 대안책을 마련하여 실천하였으며, 이를 통해 당초 계획했던 성과지표를 달성하였으며, 사업의 궁극적인 목표(Goal)를 달성할 가능성이 높음. </t>
  </si>
  <si>
    <t>3점 요건을 충족하고 ① 대응기한 내 조치 착수, ② 변경 전후 성과자료, ③ 핵심지표 100% 달성, ④ 수정 PDM/ToC에서 Goal 경로 유지가 모두 확인되면 4점.</t>
  </si>
  <si>
    <t>Q4.1</t>
  </si>
  <si>
    <t>사업은 경제적이고 시의적절한 방식으로 추진되었는가?</t>
  </si>
  <si>
    <t>설문·FGD·면담 원자료, 표본·대상·일자·방법 기록 · 사후평가 시점 확인자료</t>
  </si>
  <si>
    <t>대안 비교표·이해관계자 협의록·승인문서·담당자·기한
1.00은 해당 요건이 완전 충족되고 문서 위치가 추적될 때만 부여</t>
  </si>
  <si>
    <t>RQ2_I04</t>
  </si>
  <si>
    <t>대응의 적시 실행</t>
  </si>
  <si>
    <t>대안 비교표·이해관계자 협의록·승인문서·담당자·기한</t>
  </si>
  <si>
    <t>적절성 평점</t>
  </si>
  <si>
    <t>조치 착수일·완료일·계약·집행실적·교육/배포 기록
1.00은 해당 요건이 완전 충족되고 문서 위치가 추적될 때만 부여</t>
  </si>
  <si>
    <t>Q4.2</t>
  </si>
  <si>
    <t>주요 투입과 활동 간 균형·상호작용을 고려했는가?</t>
  </si>
  <si>
    <t>RQ2_I05</t>
  </si>
  <si>
    <t>변경 후 성과·Goal 경로 유지</t>
  </si>
  <si>
    <t>ODA-EARS-Q3.1-v1.4</t>
  </si>
  <si>
    <t>조치 착수일·완료일·계약·집행실적·교육/배포 기록</t>
  </si>
  <si>
    <t>2.1. (내적 일관성) 한국 정부 및 국내 타 기관 사업, KOICA 타 사업, 주요 국제규범 및 기준과 상호보완성, 조화/조율, 부가가치를 고려하여 사업을 추진했는가?</t>
  </si>
  <si>
    <t>변경 전후 성과지표·수정 PDM/ToC·잔여위험 분석
1.00은 해당 요건이 완전 충족되고 문서 위치가 추적될 때만 부여</t>
  </si>
  <si>
    <t>수요→문제→활동→산출물·지표 추적표, PDM·ToC·설계변경 기록 · 사후평가 시점 확인자료</t>
  </si>
  <si>
    <t>CQ1_I01</t>
  </si>
  <si>
    <t>국내·KOICA 유관사업 사전 매핑</t>
  </si>
  <si>
    <t xml:space="preserve">사업 기획단계에서 충분히 인지할 수 있는 타 개입사항이 있었음에도 불구하고, 파악 및 논의가 미비하여 사업요소 중복, 상호충돌이 발생하고 성과에 영향을 미침. </t>
  </si>
  <si>
    <t>① 국내·KOICA 유관사업 또는 적용 국제규범의 사전 목록이 없음. ② 실제 중복·역할충돌·규범위반이 발생함. ③ 그 결과 예산낭비·활동지연·성과저하 중 하나가 자료로 확인되면 1점.</t>
  </si>
  <si>
    <t>Q5.1</t>
  </si>
  <si>
    <t>재정·경제적 자립역량과 위기대응능력을 갖추었는가?</t>
  </si>
  <si>
    <t>변경 전후 성과지표·수정 PDM/ToC·잔여위험 분석</t>
  </si>
  <si>
    <t>아래 사항 중 하나 이상에 해당하는 경우
- 사업 기획 및 추진 단계에서 타 개입에 대해 인지하였음에도 연계 및 조율 시도가 확인되지 않음. 다만, 타 개입과의 중복 및 상호충돌은 확인되지 않음.
- 사업 성과 확산을 위한 타 개입과의 연계 가능성이 존재하고 연계 의지는 확인되나, 연계를 위한 구체적인 계획이나 조치사항이 확인되지 않음.</t>
  </si>
  <si>
    <t>① 유관사업·규범을 파악한 문서는 있으나 공식 협의·역할조정 기록이 없음. ② 중복·충돌로 인한 실제 성과손실은 확인되지 않음. 두 조건을 충족하면 2점.</t>
  </si>
  <si>
    <t>Q5.2</t>
  </si>
  <si>
    <t>장기 지속을 위한 제도적·사회적 환경이 갖추어졌는가?</t>
  </si>
  <si>
    <t>유관사업 목록·대상·지역·기간·예산·성과 비교표
1.00은 해당 요건이 완전 충족되고 문서 위치가 추적될 때만 부여</t>
  </si>
  <si>
    <t>CQ1_I02</t>
  </si>
  <si>
    <t>ODA-EARS-Q3.2-v1.4</t>
  </si>
  <si>
    <t>한국정부 정책·기관방향과 조화</t>
  </si>
  <si>
    <t>유관사업 목록·대상·지역·기간·예산·성과 비교표</t>
  </si>
  <si>
    <t>지수 합계 &lt;0.40=1점
0.40~&lt;0.60=2점
0.60~&lt;0.80=3점
0.80~1.00=4점 후보
4점 Gate: 5개 항목 모두 1.00이고 공식 조율과 실제 시너지·부가가치를 확인
상한: 정책 부합만 있고 실제 조율·부가가치가 없으면 최대 3점</t>
  </si>
  <si>
    <t>리스크대장·상황보고·회의록에 변화내용·발생일·인지일 기록 · 사후평가 시점 확인자료</t>
  </si>
  <si>
    <t>아래 사항 중 하나 이상에 해당하는 경우
- 개입간 연계사항이 사업 기획단계에 반영되지는 못했으나, 사업 추진 과정에서 상호 협의 및 조정을 통해 일부 반영되었거나 구체적인 반영계획이 확인됨.
- 사업 기획단계에서 조화 및 부가가치 창출이 가능한 타 개입을 충분히 검토하였으나, 평가대상사업과 연계가능한 타 사업이 존재하지 않아 실질적 연계가 불가하였음(이 경우 평가팀에서 별도로 교차검증 필요)</t>
  </si>
  <si>
    <t>① 유관사업·국제규범 매핑표가 있음. ② 회의록·공문·MoU 중 1종 이상으로 조율 또는 연계계획이 확인됨. ③ 일부 역할조정이 실행됐거나 연계 가능한 사업이 없음을 조사자료로 입증하면 3점.</t>
  </si>
  <si>
    <t>정책목표-사업활동 대응표·검토/승인문서</t>
  </si>
  <si>
    <t>사업 기획단계에서 타 개입과의 상호보완성을 인지하고 구체적인 조율·연계과정을 통해 사업 성과의 상호보완성 및 시너지효과가 확인됨.</t>
  </si>
  <si>
    <t>3점 요건을 충족하고 ① 공식 역할분담, ② 공동 활동 또는 공동 산출물, ③ 비용절감·대상확대·성과향상 중 하나를 전후자료로 검증하면 4점.</t>
  </si>
  <si>
    <t>국제규범·세이프가드 준수</t>
  </si>
  <si>
    <t>적용 규범 체크리스트·환경사회/인권/성평등 검토·조치 기록</t>
  </si>
  <si>
    <t>정책목표-사업활동 대응표·검토/승인문서
1.00은 해당 요건이 완전 충족되고 문서 위치가 추적될 때만 부여</t>
  </si>
  <si>
    <t>2.2. (외적 일관성) 사업대상지역 내 타 주체(타 공여기관, 민간분야, 수원국 정부)의 개입과 상호보완성, 조화/조율, 부가가치를 고려하여 사업을 추진했는가?</t>
  </si>
  <si>
    <t>CQ1_I03</t>
  </si>
  <si>
    <t>아래 사항 중 하나 이상에 해당하는 경우
- 사업 기획단계에서 충분히 인지할 수 있는 타 개입사항이 있었음에도 불구하고, 파악 및 논의가 미비하여 사업요소 중복, 상호충돌이 발생하고 성과에 영향을 미침.
- 주요 국제규범 및 기준을 명백히 위반한 사례가 확인됨.</t>
  </si>
  <si>
    <t>① 타 공여기관·수원국 정부·민간 개입을 파악한 자료가 없음. ② 인지 가능한 중복·충돌 또는 국제규범 위반이 발생함. ③ 해당 문제가 성과에 영향을 준 증빙이 있으면 1점.</t>
  </si>
  <si>
    <t>중복·충돌 방지와 공식 조율</t>
  </si>
  <si>
    <t>협의체 회의록·역할분담표·공문·MoU·조정 결정</t>
  </si>
  <si>
    <t>① 외부 개입을 인지했으나 회의·정보공유·역할분담 기록이 없음. ② 실제 중복·충돌은 확인되지 않거나 연계의지만 있고 실행계획이 없으면 2점.</t>
  </si>
  <si>
    <t>실제 시너지·부가가치</t>
  </si>
  <si>
    <t>공동활동·공동산출물·비용절감·대상확대·성과향상 전후자료</t>
  </si>
  <si>
    <t>① 외부 개입 매핑표가 있음. ② 공여기관·정부 협의체 회의록 또는 MoU가 있음. ③ 역할·대상·지역 중 1개 이상을 조정했거나 연계 가능한 개입이 없음을 확인하면 3점.</t>
  </si>
  <si>
    <t>외부 개입 사전 매핑</t>
  </si>
  <si>
    <t>타 공여기관·정부·민간 사업의 대상·지역·기간·자원·성과 비교표</t>
  </si>
  <si>
    <t>지수 합계 &lt;0.40=1점
0.40~&lt;0.60=2점
0.60~&lt;0.80=3점
0.80~1.00=4점 후보
4점 Gate: 5개 항목 모두 1.00이고 공식 역할분담·중복방지·공동성과를 확인
상한: 단순 회의 참석만 있고 역할조정·공동성과가 없으면 최대 3점</t>
  </si>
  <si>
    <t>ODA-EARS-Q3.3-v1.4</t>
  </si>
  <si>
    <t>4. 효율성</t>
  </si>
  <si>
    <t>3점 요건을 충족하고 ① 공식 역할분담표, ② 공동 산출물 또는 공동성과, ③ 수원국이 조율을 주도한 회의·승인 기록이 모두 확인되면 4점.</t>
  </si>
  <si>
    <t>공식 조율 메커니즘</t>
  </si>
  <si>
    <t>분야협의체·정례회의·MoU·정보공유 절차와 참석/결정 기록</t>
  </si>
  <si>
    <t>일관성 평점</t>
  </si>
  <si>
    <t>적용 규범 체크리스트·환경사회/인권/성평등 검토·조치 기록
1.00은 해당 요건이 완전 충족되고 문서 위치가 추적될 때만 부여</t>
  </si>
  <si>
    <t>기관별 역할분담·수원국 주도</t>
  </si>
  <si>
    <t>RACI·업무분장·정부 주재/승인 기록</t>
  </si>
  <si>
    <t>CQ1_I04</t>
  </si>
  <si>
    <t>3.1. 사업의 직접적, 일차적 산출물(output)을 계획한대로 달성하였는가?</t>
  </si>
  <si>
    <t>위험도·영향받는 산출물/Outcome·원인·우선순위 분석서 · 사후평가 시점 확인자료</t>
  </si>
  <si>
    <t>하나 이상의 산출물(output)을 현저히 달성하지 못하였으며, 해당 사유의 불가피성 및 타당성이 인정되지 않거나 사업의 중장기 성과 및 목표 달성 가능성이 매우 낮음.</t>
  </si>
  <si>
    <t>중요도 가중 핵심 Output 달성률이 60% 미만이거나 필수 산출물 1개 이상이 미완료이며, 불가피한 사유·승인변경·회복계획이 확인되지 않으면 1점.</t>
  </si>
  <si>
    <t>중복·충돌 방지 실행</t>
  </si>
  <si>
    <t>대상·지역·활동·일정 조정 전후표·조정 승인문서</t>
  </si>
  <si>
    <t>하나 이상의 산출물(output)을 일부 달성하지 못하였으며, 해당 사유의 불가피성 및 타당성이 일부 인정되나 사업의 성과 및 목표 달성에 부정적인 영향을 미칠 가능성이 높음.</t>
  </si>
  <si>
    <t>중요도 가중 Output 달성률이 60~79.9%이거나 핵심 산출물 일부가 품질·수량 기준을 미충족함. 사유의 일부 타당성은 있으나 Outcome에 부정적 영향 가능성이 높으면 2점.</t>
  </si>
  <si>
    <t>공동성과·시너지</t>
  </si>
  <si>
    <t>공동 산출물·연계서비스·비용절감·성과확대 결과자료</t>
  </si>
  <si>
    <t>최종 PDM 내 대부분의 산출물(output)을 달성하였으며, 일부 요소에서 정량적, 정성적으로 미흡한 면이 확인되나 해당 사유의 불가피성 및 타당성이 충분히 인정되며 극복가능함.</t>
  </si>
  <si>
    <t>중요도 가중 Output 달성률이 80~99.9%이고 대부분의 품질·수량·일정 기준을 충족함. 미달 사유가 승인자료로 확인되고 보완 가능하며 핵심 Outcome 경로가 유지되면 3점.</t>
  </si>
  <si>
    <t>ODA-EARS-Q4.1-v1.4</t>
  </si>
  <si>
    <t>핵심 Output 달성률</t>
  </si>
  <si>
    <t>최종 PDM·목표/실적 원자료·중요도 지정표</t>
  </si>
  <si>
    <t>지수 합계 &lt;0.40=1점
0.40~&lt;0.60=2점
0.60~&lt;0.80=3점
0.80~1.00=4점 후보
4점 Gate: 5개 항목 모두 1.00이고 모든 핵심 Output 100% 이상·품질 적합·활용 가능성을 확인
상한: 핵심 Output 하나라도 100% 미만이면 최대 3점</t>
  </si>
  <si>
    <t>협의체 회의록·역할분담표·공문·MoU·조정 결정
1.00은 해당 요건이 완전 충족되고 문서 위치가 추적될 때만 부여</t>
  </si>
  <si>
    <t>CQ1_I05</t>
  </si>
  <si>
    <t>최종 PDM 내 모든 산출물(output)을 100% 이상 달성하였으며, 사업 산출물의 품질이 우수하여 사업의 중장기성과 및 목표달성에 기여할 가능성이 높음.</t>
  </si>
  <si>
    <t>① 모든 핵심 Output 100% 이상 달성, ② 검수·사용자 확인으로 품질 적합 이상, ③ 인수인계·운영준비 완료, ④ 중장기 Outcome 기여경로 확인을 모두 충족하면 4점. 초과달성은 지표별 120%에서 상한.</t>
  </si>
  <si>
    <t>산출물 품질 충족</t>
  </si>
  <si>
    <t>검수서·품질시험·전문가/사용자 평가·하자조치 기록</t>
  </si>
  <si>
    <t>3.2. 사업의 중장기 성과(outcome) 및 목표(goal)를 달성하였거나 달성할 것으로 예상하는가?</t>
  </si>
  <si>
    <t>최종 PDM 내 성과(outcome)을 전혀 달성하지 못하였거나 달성할 가능성이 없음. 사업에서 설정한 당면과제 및 최종목표가 명확하지 않거나 현실에 부합하지 않으며, 달성 가능성도 낮음.</t>
  </si>
  <si>
    <t>중요도 가중 핵심 Outcome 달성률이 40% 미만이거나 수혜자 변화가 확인되지 않음. 목표·지표가 불명확하고 Goal 달성경로도 성립하지 않으면 1점.</t>
  </si>
  <si>
    <t>공동활동·공동산출물·비용절감·대상확대·성과향상 전후자료
1.00은 해당 요건이 완전 충족되고 문서 위치가 추적될 때만 부여</t>
  </si>
  <si>
    <t>목표 수량·범위 충족</t>
  </si>
  <si>
    <t>완료계·인수증·수혜자/시설/교육 커버리지 원자료</t>
  </si>
  <si>
    <t>CQ2_I01</t>
  </si>
  <si>
    <t>최종 PDM 내 일부 성과(outcome)을 달성하였거나 달성할 것으로 예상되나, 사업 기획단계에서 설정한 당면과제의 해결과 최종목표 달성 가능성은 현시점에서 뚜렷하게 확인되지 않음.</t>
  </si>
  <si>
    <t>핵심 Outcome 달성률이 40~69.9%이며 일부 변화는 확인되나 대표성 있는 지표·종료선·인과근거 중 2개 이상이 없고 Goal 달성 가능성이 불명확하면 2점.</t>
  </si>
  <si>
    <t>일정 준수</t>
  </si>
  <si>
    <t>기준 일정·실제 완료일·승인된 일정변경과 사유</t>
  </si>
  <si>
    <t xml:space="preserve">최종 PDM 내 대부분의 성과(outcome)를 달성하였거나 달성할 것으로 예상됨. 일부 선결과제 혹은 위기상황이 해결될 경우 사업에서 의도한 최종 목표 달성 가능성이 상당함. </t>
  </si>
  <si>
    <t>핵심 Outcome 달성률이 70~99.9%이거나 대부분 달성이 합리적으로 예상됨. 종료선 자료가 있고 남은 선결과제·위험·달성시점이 구체적으로 제시되면 3점.</t>
  </si>
  <si>
    <t>대안 비교표·이해관계자 협의록·승인문서·담당자·기한 · 사후평가 시점 확인자료</t>
  </si>
  <si>
    <t>활용 가능성·Outcome 기여</t>
  </si>
  <si>
    <t>사용기록·인수인계·운영준비·Output→Outcome 연결자료</t>
  </si>
  <si>
    <t>ODA-EARS-Q4.2-v1.4</t>
  </si>
  <si>
    <t>5. 지속가능성</t>
  </si>
  <si>
    <t>최종 PDM(혹은 ePDM) 내 모든 성과(outcome)를 달성하였으며, 해당 지표는 사업의 실제 성과를 대표할 수 있도록 설정됨. 기획단계부터 사업의 당면과제와 최종 목표를 명확히 설정하였으며, 해당 사업으로 최종 목표를 달성할 수 있는 인과성(causality)이 확인됨.</t>
  </si>
  <si>
    <t>① 모든 핵심 Outcome 100% 달성, ② 지표가 실제 변화를 대표함, ③ 기초선·종료선 비교, ④ 사업 기여도를 2종 이상 자료로 교차검증, ⑤ Goal 인과경로가 확인되면 4점.</t>
  </si>
  <si>
    <t>핵심 Outcome 달성률</t>
  </si>
  <si>
    <t>최종 성과표·목표/실적 원자료·중요도 지정표</t>
  </si>
  <si>
    <t>지수 합계 &lt;0.40=1점
0.40~&lt;0.60=2점
0.60~&lt;0.80=3점
0.80~1.00=4점 후보
4점 Gate: 5개 항목 모두 1.00이고 모든 핵심 Outcome 달성·지표 대표성·사업 기여도를 확인
상한: 달성률만 있고 지표 대표성·인과성이 없으면 최대 3점</t>
  </si>
  <si>
    <t>타 공여기관·정부·민간 사업의 대상·지역·기간·자원·성과 비교표
1.00은 해당 요건이 완전 충족되고 문서 위치가 추적될 때만 부여</t>
  </si>
  <si>
    <t xml:space="preserve">3.3. 사업은 사회적 소외계층을 포용하여 형평성있게 성과를 달성하였는가? </t>
  </si>
  <si>
    <t>/3점</t>
  </si>
  <si>
    <t>CQ2_I02</t>
  </si>
  <si>
    <t>사업기획 및 추진 단계에서 사회적 소외계층에 대한 고려가 미흡하며, 사업의 부정적 파급효과로 인해 취약계층의 제약요인 및 취약성을 명백히 심화시킨 사례가 확인됨.</t>
  </si>
  <si>
    <t>① 취약·소외계층 식별과 접근제약 분석이 없음. ② 사업으로 차별·접근악화·피해가 발생함. ③ 부정적 차등영향이 민원·조사·사례자료로 확인되면 1점.</t>
  </si>
  <si>
    <t>성과지표 대표성·타당성</t>
  </si>
  <si>
    <t>지표정의서·측정방법·표본·산식·검증 기록</t>
  </si>
  <si>
    <t>사업기획 및 추진 단계에서 사회적 소외계층에 대한 고려가 미흡하며, 사업 결과 취약계층에 미치는 영향을 확인하지 못함.</t>
  </si>
  <si>
    <t>취약계층을 명시했으나 수요·제약 분석, 표적활동, 분리데이터가 모두 없고 사업 결과가 해당 집단에 미친 영향을 확인할 수 없으면 2점.</t>
  </si>
  <si>
    <t>기초선-종료선 변화</t>
  </si>
  <si>
    <t>동일 정의·모집단·방법의 기초선/종료선 자료</t>
  </si>
  <si>
    <t>아래 사항 중 하나 이상에 해당하는 경우
- 사업의 기획 - 추진 - 성과달성 측면에서 사회적 소외계층에 대한 사업성과 달성을 위한 조치가 이루어졌으나,  실제 사업의 정성적, 정량적 성과에서 관련 내용을 특정하여 평가하기 어려움.
- 사업기획 및 추진 단계에서 사회적 소외계층에 대한 고려가 두드러지지는 않으나, 사업 파급효과로 인해 취약계층의 역량강화 및 상황개선이 확인됨.</t>
  </si>
  <si>
    <t>① 취약계층과 접근제약을 분석함. ② 포용조치 또는 표적활동을 시행함. ③ 다만 분리데이터가 없거나 집단별 성과가 정량·정성 중 한 방식으로만 일부 확인되면 3점.</t>
  </si>
  <si>
    <t>사업 기여도·인과성</t>
  </si>
  <si>
    <t>ToC·기여분석·대안설명 검토·2종 이상 자료 교차검증</t>
  </si>
  <si>
    <t>사업의 기획 - 추진 - 성과달성 측면에서 사회적 소외계층에 대한 사업성과 달성을 위해 취약층 식별 및 제약요인 파악, 수요 우선반영, 분리데이터 모니터링 등의 조치가 이루어졌으며, 실제 소외계층을 고려한 정성적, 정량적 사업성과 달성이 확인됨.</t>
  </si>
  <si>
    <t>① 취약계층 식별, ② 접근제약 분석, ③ 수요의 설계 반영, ④ 성·지역·장애 등 분리데이터, ⑤ 집단별 성과 및 격차 분석, ⑥ Do-no-harm 확인이 모두 증빙되면 4점.</t>
  </si>
  <si>
    <t>수혜자 변화·Goal 가능성</t>
  </si>
  <si>
    <t>수혜자 조사·행정통계·사례·잔여위험·비의도 효과 분석</t>
  </si>
  <si>
    <t>분야협의체·정례회의·MoU·정보공유 절차와 참석/결정 기록
1.00은 해당 요건이 완전 충족되고 문서 위치가 추적될 때만 부여</t>
  </si>
  <si>
    <t>효과성 평점</t>
  </si>
  <si>
    <t>CQ2_I03</t>
  </si>
  <si>
    <t>취약·소외계층 식별</t>
  </si>
  <si>
    <t>성·연령·장애·지역·소득 등 취약성 기준과 규모 분석</t>
  </si>
  <si>
    <t>지수 합계 &lt;0.40=1점
0.40~&lt;0.60=2점
0.60~&lt;0.80=3점
0.80~1.00=4점 후보
4점 Gate: 5개 항목 모두 1.00이고 분리데이터·집단별 성과·Do-no-harm을 확인
상한: 필요한 분리데이터 없이 서술만 있으면 최대 3점</t>
  </si>
  <si>
    <t>ODA-EARS-Q5.1-v1.4</t>
  </si>
  <si>
    <t>4.1. 사업은 경제적이고 시의적절한 방식으로 추진되었는가?</t>
  </si>
  <si>
    <t>조치 착수일·완료일·계약·집행실적·교육/배포 기록 · 사후평가 시점 확인자료</t>
  </si>
  <si>
    <t>별도 타당한 사유 없이 사업 기간 및 예산의 150% 이상이 비효율적으로 증액 및 연장됨.</t>
  </si>
  <si>
    <t>실제예산/계획예산 또는 실제기간/계획기간 중 하나가 150% 이상이며, 승인된 변경사유·불가피성·완화조치가 확인되지 않으면 1점.</t>
  </si>
  <si>
    <t>접근제약·수요 분석</t>
  </si>
  <si>
    <t>RACI·업무분장·정부 주재/승인 기록
1.00은 해당 요건이 완전 충족되고 문서 위치가 추적될 때만 부여</t>
  </si>
  <si>
    <t>장벽 조사·FGD·면담·참여제약과 우선수요 기록</t>
  </si>
  <si>
    <t>CQ2_I04</t>
  </si>
  <si>
    <t>사업 기간 및 예산의 150% 이상이 증액 및 연장되었으나, 그 필요성 및 불가피성이 일부 인정됨.</t>
  </si>
  <si>
    <t>예산 또는 기간 비율이 150% 이상이나 변경승인과 불가피성이 일부 확인됨. 단위비용·대안 비교가 없거나 핵심 성과 미달이 지속되면 2점.</t>
  </si>
  <si>
    <t>포용적 설계·실행</t>
  </si>
  <si>
    <t>표적활동·합리적 편의·접근성 조치의 계획과 실행실적</t>
  </si>
  <si>
    <t>계획 대비 사업 기간 및 예산 활용에 소폭 조정사항(150% 미만)이 있으나, 그 필요성 및 불가피성이 인정됨.</t>
  </si>
  <si>
    <t>예산·기간 조정이 150% 미만이고 변경승인·원인·완화조치가 확인됨. 핵심 산출물을 보전했으나 비교단가·대안분석 또는 추가 효율효과가 없으면 3점.</t>
  </si>
  <si>
    <t>분리데이터 확보</t>
  </si>
  <si>
    <t>집단별 참여·산출·Outcome 원자료와 데이터사전</t>
  </si>
  <si>
    <t>계획 대비 사업 기간 및 예산 활용에 소폭 조정사항(150% 미만)이 있으나, 그 필요성 및 불가피성이 인정되며, 총 예산 절감, 사업공기 단축, 추가 사업요소 반영 등 사업의 효율성에 긍정적인 영향이 확인됨.</t>
  </si>
  <si>
    <t>3점 요건을 충족하고 ① 시장·유사사업 Benchmark, ② 예산절감·공기단축·동일자원 추가성과 중 1개 이상, ③ 전후 수치와 승인자료가 모두 확인되면 4점.</t>
  </si>
  <si>
    <t>집단별 성과격차·Do-no-harm</t>
  </si>
  <si>
    <t>격차분석·부정영향·민원·보완조치와 결과</t>
  </si>
  <si>
    <t>4.2. 사업은 주요 투입 및 활동 간 균형, 상호작용을 고려하여 효율적으로 추진되었는가?</t>
  </si>
  <si>
    <t>사업 주요 투입 및 활동 간 균형 및 상호작용을 고려하지 않아 사업 성과의 달성 미흡에 심각한 영향을 미침.</t>
  </si>
  <si>
    <t>투입-활동 논리·자원배분·역할분담이 없고, 병목·중복·공백이 핵심 산출물 또는 Outcome 미달에 직접 영향을 준 자료가 있으면 1점.</t>
  </si>
  <si>
    <t>계획 대비 예산 적정성</t>
  </si>
  <si>
    <t>최초/수정예산·실집행·예산비율·불용/초과 사유</t>
  </si>
  <si>
    <t>지수 합계 &lt;0.40=1점
0.40~&lt;0.60=2점
0.60~&lt;0.80=3점
0.80~1.00=4점 후보
4점 Gate: 5개 항목 모두 1.00이고 Benchmark와 절감·단축·추가성과 중 하나 이상을 확인
상한: Benchmark·대안 비교 없이 집행률만 있으면 최대 3점</t>
  </si>
  <si>
    <t>사업 주요 투입 및 활동 간 균형을 별도로 고려하지 않았으나, 사업 성과에 유의미한 영향을 미치지 않음.</t>
  </si>
  <si>
    <t>투입·활동 간 균형을 사전에 검토한 자료가 없으나 중대한 성과손실은 확인되지 않음. 자원배분 조정이나 시너지 증빙도 없으면 2점.</t>
  </si>
  <si>
    <t>계획 대비 기간 적정성</t>
  </si>
  <si>
    <t>최초/수정일정·실제기간·지연일수·핵심경로</t>
  </si>
  <si>
    <t>대상·지역·활동·일정 조정 전후표·조정 승인문서
1.00은 해당 요건이 완전 충족되고 문서 위치가 추적될 때만 부여</t>
  </si>
  <si>
    <t>ODA-EARS-Q5.2-v1.4</t>
  </si>
  <si>
    <t>KOICA 공식 점수 요약</t>
  </si>
  <si>
    <t>사업 기획단계에서는 고려되지 않았으나, 추진단계에서의 필요에 의해 사업요소 간 순서 및 균형을 사후적으로 조정함.</t>
  </si>
  <si>
    <t>추진 중 병목을 확인해 예산·인력·순서를 재배분했고 변경승인·조치기록이 있음. 조정 후 성과가 회복됐으나 기획단계 사전설계 또는 시너지 검증이 없으면 3점.</t>
  </si>
  <si>
    <t>질문수</t>
  </si>
  <si>
    <t>평균점수</t>
  </si>
  <si>
    <t>증액·지연 사유와 승인</t>
  </si>
  <si>
    <t>원인분석·불가피성·변경승인·완화조치·책임기록</t>
  </si>
  <si>
    <t>Coverage 평균</t>
  </si>
  <si>
    <t>Confidence 평균</t>
  </si>
  <si>
    <t>CQ2_I05</t>
  </si>
  <si>
    <t>사업 기획단계부터 사업요소 간 균형 및 상호작용을 고려하였으며, 요소 간 시너지효과 및 연계성이 사업성과 강화요인으로 작용함.</t>
  </si>
  <si>
    <t>① 기획단계 투입-활동-산출 논리, ② 활동 선후관계, ③ 자원배분 근거, ④ 역할분담, ⑤ 요소 간 연계가 품질·속도·범위를 개선한 전후자료가 모두 확인되면 4점.</t>
  </si>
  <si>
    <t>단위비용·Benchmark·조달</t>
  </si>
  <si>
    <t>시장조사·유사사업 단가·복수대안·조달 Lead Time 비교</t>
  </si>
  <si>
    <t>변경 전후 성과지표·수정 PDM/ToC·잔여위험 분석 · 사후평가 시점 확인자료</t>
  </si>
  <si>
    <t>효율성 평점</t>
  </si>
  <si>
    <t>투입-산출 생산성·효율효과</t>
  </si>
  <si>
    <t>단위당 비용·예산절감·공기단축·동일자원 추가성과 전후표</t>
  </si>
  <si>
    <t>5.1. 수원국 내 시스템, 조직 및 이해관계자는 사업 편익이 지속될 수 있는 재정적, 경제적 자립역량 및 위기대응능력을 갖추었는가?</t>
  </si>
  <si>
    <t>수원국 내 사업에 참여하거나 인지하고 있는 인력이 확인되지 않으며, 예산계획 또한 불투명함. 발생가능한 위기에 대처할 수 있는 기제가 확인되지 않음.</t>
  </si>
  <si>
    <t>현지 운영주체·운영인력·예산 또는 수익모델·유지보수체계·위기대응절차가 모두 확인되지 않고 사업 편익의 지속이 불가능하다는 근거가 있으면 1점.</t>
  </si>
  <si>
    <t>투입-활동-산출 논리</t>
  </si>
  <si>
    <t>PDM·작업계획·투입별 활동/산출 연결표</t>
  </si>
  <si>
    <t>지수 합계 &lt;0.40=1점
0.40~&lt;0.60=2점
0.60~&lt;0.80=3점
0.80~1.00=4점 후보
4점 Gate: 5개 항목 모두 1.00이고 기획단계 균형·적응관리·실제 시너지를 확인
상한: 추진 중 사후 조정만 확인되면 최대 3점</t>
  </si>
  <si>
    <t>사업 성과 지속을 위한 수원국의 의지는 확인되나, 이를 위한 예산 및 인력확보계획이 구체적으로 마련되어 있지 않아 지속가능성을 담보하기 어려움.</t>
  </si>
  <si>
    <t>현지기관의 지속 의지는 공문·면담으로 확인되나 예산액·재원·담당인력·확보시점 중 2개 이상이 없고 위기대응계획이 구체적이지 않으면 2점.</t>
  </si>
  <si>
    <t>활동 순서·선후관계</t>
  </si>
  <si>
    <t>일정 네트워크·핵심경로·선행조건·병목 분석</t>
  </si>
  <si>
    <t>사업 성과 지속을 위한 일시(단년도) 예산을 확보하였거나, 일부 미흡하지만 빠른 시간내에 자체수익모델을 통한 자립운영이 가능할 것으로 판단됨. 평가팀에서 파악한 잠재적인 내·외부 위기사항에 대해 수원국 측에서 인지하고 조치방안을 마련하고 있으나 예산 및 인력 제약으로 인해 단기적으로 외부지원이 수반되어야 함.</t>
  </si>
  <si>
    <t>① 단년도 운영예산 또는 단기간 내 실행 가능한 수익모델, ② 담당인력, ③ 유지보수계획, ④ 위기 인지·조치계획이 확인되나 외부지원이 필요하면 3점.</t>
  </si>
  <si>
    <t>자원배분 균형</t>
  </si>
  <si>
    <t>예산·인력·장비·기간 배분근거와 수요/우선순위 비교</t>
  </si>
  <si>
    <t>사업 성과의 중장기 지속을 위한 다년도 예산을 확보하였거나 자체 수익모델로 재정적, 경제적 자립역량 확보가 충분히 가능함. 내·외부 위기상황 발생시 자체적으로 의사결정 및 대응한 사례가 존재하거나, 대응 가능한 인력 및 예산구조가 확보되었다고 판단됨.</t>
  </si>
  <si>
    <t>① 승인된 다년도 예산 또는 검증된 자립수익, ② 확보된 운영인력, ③ 유지보수·공급망, ④ 현지 의사결정권, ⑤ 자체 위기대응 예산·절차 또는 대응사례가 모두 확인되면 4점.</t>
  </si>
  <si>
    <t>역할·조정체계</t>
  </si>
  <si>
    <t>RACI·회의체·의사결정·인계·조정 기록</t>
  </si>
  <si>
    <t>산출 항목</t>
  </si>
  <si>
    <t>결과</t>
  </si>
  <si>
    <t>체계</t>
  </si>
  <si>
    <t>공동 산출물·연계서비스·비용절감·성과확대 결과자료
1.00은 해당 요건이 완전 충족되고 문서 위치가 추적될 때만 부여</t>
  </si>
  <si>
    <t>설명</t>
  </si>
  <si>
    <t>평가 총점</t>
  </si>
  <si>
    <t>/20점</t>
  </si>
  <si>
    <t>5개 기준 평점의 합</t>
  </si>
  <si>
    <t>세부등급</t>
  </si>
  <si>
    <t>EQ1_I01</t>
  </si>
  <si>
    <t>유관사업 목록·대상·지역·기간·예산·성과 비교표 · 사후평가 시점 확인자료</t>
  </si>
  <si>
    <t>A~F</t>
  </si>
  <si>
    <t>18/16/14/12/10 경계</t>
  </si>
  <si>
    <t>기존서식 등급</t>
  </si>
  <si>
    <t>4단계</t>
  </si>
  <si>
    <t>매우성공적/성공적/부분성공적/미흡</t>
  </si>
  <si>
    <t>Q6.1</t>
  </si>
  <si>
    <t>장기적·광범위한 관점에서 전환적 효과를 달성했거나 달성할 가능성이 있는가?</t>
  </si>
  <si>
    <t>5.2. 사업 편익이 장기적으로 지속될 수 있는 제도적, 사회적 환경이 갖추어졌는가?</t>
  </si>
  <si>
    <t>최종 PDM·목표/실적 원자료·중요도 지정표
1.00은 해당 요건이 완전 충족되고 문서 위치가 추적될 때만 부여</t>
  </si>
  <si>
    <t>EQ1_I02</t>
  </si>
  <si>
    <t>사업 기획 및 추진 상의 미흡으로 성과 지속 및 확장이 불가능할 것으로 판단됨.</t>
  </si>
  <si>
    <t>정책목표-사업활동 대응표·검토/승인문서 · 사후평가 시점 확인자료</t>
  </si>
  <si>
    <t>정책·법·조직·정규예산·기존 시스템 통합 조치가 없고, 책임기관 부재 또는 사회적 수용성 결함으로 성과 지속·확장이 불가능하다는 근거가 있으면 1점.</t>
  </si>
  <si>
    <t>적용 규범 체크리스트·환경사회/인권/성평등 검토·조치 기록 · 사후평가 시점 확인자료</t>
  </si>
  <si>
    <t>검수서·품질시험·전문가/사용자 평가·하자조치 기록
1.00은 해당 요건이 완전 충족되고 문서 위치가 추적될 때만 부여</t>
  </si>
  <si>
    <t>적응관리·투입요소 시너지</t>
  </si>
  <si>
    <t>재배분/변경 이력과 품질·속도·범위 개선 전후자료</t>
  </si>
  <si>
    <t>EQ1_I03</t>
  </si>
  <si>
    <t>협의체 회의록·역할분담표·공문·MoU·조정 결정 · 사후평가 시점 확인자료</t>
  </si>
  <si>
    <t>공동활동·공동산출물·비용절감·대상확대·성과향상 전후자료 · 사후평가 시점 확인자료</t>
  </si>
  <si>
    <t>타 공여기관·정부·민간 사업의 대상·지역·기간·자원·성과 비교표 · 사후평가 시점 확인자료</t>
  </si>
  <si>
    <t>분야협의체·정례회의·MoU·정보공유 절차와 참석/결정 기록 · 사후평가 시점 확인자료</t>
  </si>
  <si>
    <t>현 시점에서의 사업 성과는 일정 부분 확인되나, 향후 사업 성과 지속 및 확장을 위한 별도 조치가 확인되지 않음.</t>
  </si>
  <si>
    <t>현재 편익은 일부 확인되나 제도화 계획, 책임기관 지정, 정규사업 편입, 확산계획 중 어느 것도 문서로 확인되지 않으면 2점.</t>
  </si>
  <si>
    <t>완료계·인수증·수혜자/시설/교육 커버리지 원자료
1.00은 해당 요건이 완전 충족되고 문서 위치가 추적될 때만 부여</t>
  </si>
  <si>
    <t>현지 운영주체·의사결정권</t>
  </si>
  <si>
    <t>RACI·업무분장·정부 주재/승인 기록 · 사후평가 시점 확인자료</t>
  </si>
  <si>
    <t>EQ1_I04</t>
  </si>
  <si>
    <t>대상·지역·활동·일정 조정 전후표·조정 승인문서 · 사후평가 시점 확인자료</t>
  </si>
  <si>
    <t>공식 지정서·조직규정·의사결정/운영 기록</t>
  </si>
  <si>
    <t>지수 합계 &lt;0.40=1점
0.40~&lt;0.60=2점
0.60~&lt;0.80=3점
0.80~1.00=4점 후보
4점 Gate: 5개 항목 모두 1.00이고 다년도 재원·확보인력·유지보수·자체 위기대응을 확인
상한: 단년도 예산 또는 외부지원이 필수이면 최대 3점</t>
  </si>
  <si>
    <t>공동 산출물·연계서비스·비용절감·성과확대 결과자료 · 사후평가 시점 확인자료</t>
  </si>
  <si>
    <t>최종 PDM·목표/실적 원자료·중요도 지정표 · 사후평가 시점 확인자료</t>
  </si>
  <si>
    <t>사업 성과 지속 및 확장을 위한 구체적인 조치(ex. 입법화, 사업 모델의 수원국 자체 프로그램 적용, 전담기관 지정 및 운영 등) 마련을 위한 구체적인 사전 준비 혹은 논의가 진행되고 있음.</t>
  </si>
  <si>
    <t>입법안·정책안·정규사업 편입안·전담기관 지정안 중 1개 이상이 문서화되고 담당기관·절차·예정시점이 제시됐으나 아직 승인·시행 전이면 3점.</t>
  </si>
  <si>
    <t>검수서·품질시험·전문가/사용자 평가·하자조치 기록 · 사후평가 시점 확인자료</t>
  </si>
  <si>
    <t>다년도 예산·자립수익모델</t>
  </si>
  <si>
    <t>승인 예산서·재원확약·수입/비용 추정과 검증자료</t>
  </si>
  <si>
    <t>완료계·인수증·수혜자/시설/교육 커버리지 원자료 · 사후평가 시점 확인자료</t>
  </si>
  <si>
    <t>기준 일정·실제 완료일·승인된 일정변경과 사유
1.00은 해당 요건이 완전 충족되고 문서 위치가 추적될 때만 부여</t>
  </si>
  <si>
    <t>사업 성과 지속 및 확장을 위한 구체적인 조치(ex. 입법화, 사업 모델의 수원국 자체 프로그램 적용, 전담기관 지정 및 운영 등)이 실현됨.</t>
  </si>
  <si>
    <t>기준 일정·실제 완료일·승인된 일정변경과 사유 · 사후평가 시점 확인자료</t>
  </si>
  <si>
    <t>① 법령·정책·지침 승인 또는 정규사업 편입, ② 책임기관 공식 지정, ③ 예산·인력·업무시스템 통합, ④ 실제 운영 또는 확산 실적이 모두 문서로 확인되면 4점.</t>
  </si>
  <si>
    <t>운영인력·역량</t>
  </si>
  <si>
    <t>정원·직무기술서·배치·교육·인력유지 계획</t>
  </si>
  <si>
    <t>EQ1_I05</t>
  </si>
  <si>
    <t>사용기록·인수인계·운영준비·Output→Outcome 연결자료 · 사후평가 시점 확인자료</t>
  </si>
  <si>
    <t>지속가능성 평점</t>
  </si>
  <si>
    <t>최종 성과표·목표/실적 원자료·중요도 지정표 · 사후평가 시점 확인자료</t>
  </si>
  <si>
    <t>유지보수·소모품·공급망</t>
  </si>
  <si>
    <t>O&amp;M 계획·비용·담당자·계약·재고/부품 조달 기록</t>
  </si>
  <si>
    <t>지표정의서·측정방법·표본·산식·검증 기록 · 사후평가 시점 확인자료</t>
  </si>
  <si>
    <t>ODA-EARS v1.4 | 종료·사후평가 증빙체크 자동판정 기준</t>
  </si>
  <si>
    <t>동일 정의·모집단·방법의 기초선/종료선 자료 · 사후평가 시점 확인자료</t>
  </si>
  <si>
    <t>점수·임계값·게이트·상한 규칙은 Rubric Version 단위로 관리합니다. Missing Evidence는 부정 증거가 아니라 ND(미입증)로 처리합니다.</t>
  </si>
  <si>
    <t>원자판정</t>
  </si>
  <si>
    <t>판정 앵커</t>
  </si>
  <si>
    <t>처리</t>
  </si>
  <si>
    <t>사용기록·인수인계·운영준비·Output→Outcome 연결자료
1.00은 해당 요건이 완전 충족되고 문서 위치가 추적될 때만 부여</t>
  </si>
  <si>
    <t>Merit 하한</t>
  </si>
  <si>
    <t>해석</t>
  </si>
  <si>
    <t>0.00</t>
  </si>
  <si>
    <t>ToC·기여분석·대안설명 검토·2종 이상 자료 교차검증 · 사후평가 시점 확인자료</t>
  </si>
  <si>
    <t>미충족 또는 명백한 부정적 증거</t>
  </si>
  <si>
    <t>Merit에 0 반영</t>
  </si>
  <si>
    <t>미흡</t>
  </si>
  <si>
    <t>0.33</t>
  </si>
  <si>
    <t>일부 확인되나 임시적·제한적</t>
  </si>
  <si>
    <t>Merit에 0.33 반영</t>
  </si>
  <si>
    <t>일부 충족</t>
  </si>
  <si>
    <t>0.67</t>
  </si>
  <si>
    <t>대체로 충족하나 중요한 한계 존재</t>
  </si>
  <si>
    <t>EQ2_I01</t>
  </si>
  <si>
    <t>Merit에 0.67 반영</t>
  </si>
  <si>
    <t>대체로 충족</t>
  </si>
  <si>
    <t>1.00</t>
  </si>
  <si>
    <t>충분히 충족되고 객관적 근거로 검증</t>
  </si>
  <si>
    <t>Merit에 1.00 반영</t>
  </si>
  <si>
    <t>4점 후보</t>
  </si>
  <si>
    <t>ND</t>
  </si>
  <si>
    <t>자료 없음·미입증</t>
  </si>
  <si>
    <t>수혜자 조사·행정통계·사례·잔여위험·비의도 효과 분석 · 사후평가 시점 확인자료</t>
  </si>
  <si>
    <t>점수 0 아님; Coverage 저하</t>
  </si>
  <si>
    <t>CONFLICTED</t>
  </si>
  <si>
    <t>상충 근거 존재</t>
  </si>
  <si>
    <t>해소 전 확정 차단</t>
  </si>
  <si>
    <t>Evidence DQ 요소</t>
  </si>
  <si>
    <t>가중치</t>
  </si>
  <si>
    <t>Coverage 하한</t>
  </si>
  <si>
    <t>최대점수</t>
  </si>
  <si>
    <t>자료보완 / 자동확정 금지</t>
  </si>
  <si>
    <t>4점 자동판정 금지</t>
  </si>
  <si>
    <t>원자료 추적성 T</t>
  </si>
  <si>
    <t>4점 후보 가능</t>
  </si>
  <si>
    <t>시의성 Rec</t>
  </si>
  <si>
    <t>운영 변수</t>
  </si>
  <si>
    <t>값</t>
  </si>
  <si>
    <t>유효증거 최소 DQ</t>
  </si>
  <si>
    <t>이 값 이상인 증거만 Coverage에 산입</t>
  </si>
  <si>
    <t>자동확정 최소 Confidence</t>
  </si>
  <si>
    <t>미만이면 평가자 검토 필수</t>
  </si>
  <si>
    <t>2026-09-16 종료·사후평가 통합안</t>
  </si>
  <si>
    <t>질문</t>
  </si>
  <si>
    <t>4점 Mandatory Gate</t>
  </si>
  <si>
    <t>Score Cap</t>
  </si>
  <si>
    <t>가중치 합계</t>
  </si>
  <si>
    <t>RQ1_I01 / RQ1_I02 / RQ1_I03 / RQ1_I04 / RQ1_I05</t>
  </si>
  <si>
    <t>정책문서만 있고 이해관계자 수요·설계반영 근거가 없으면 최대 3점</t>
  </si>
  <si>
    <t>수요와 무관한 설계 또는 주요 이해관계자 배제로 중대한 영향 시 1점 후보</t>
  </si>
  <si>
    <t>RQ2_I01 / RQ2_I02 / RQ2_I03 / RQ2_I04 / RQ2_I05</t>
  </si>
  <si>
    <t>회의·계획 변경만 있고 실행·성과보전 근거가 없으면 최대 2점</t>
  </si>
  <si>
    <t>미대응으로 핵심 성과에 중대한 손실이 발생하면 1점 후보</t>
  </si>
  <si>
    <t>성·연령·장애·지역·소득 등 취약성 기준과 규모 분석 · 사후평가 시점 확인자료</t>
  </si>
  <si>
    <t>CQ1_I01 / CQ1_I02 / CQ1_I03 / CQ1_I04 / CQ1_I05</t>
  </si>
  <si>
    <t>정책 부합만 있고 실제 조율·부가가치가 없으면 최대 3점</t>
  </si>
  <si>
    <t>국제규범 위반 또는 타 개입 충돌이 성과에 영향을 주면 1점 후보</t>
  </si>
  <si>
    <t>CQ2_I01 / CQ2_I02 / CQ2_I03 / CQ2_I04 / CQ2_I05</t>
  </si>
  <si>
    <t>단순 회의 참석만 있고 역할조정·공동성과가 없으면 최대 3점</t>
  </si>
  <si>
    <t>인지 가능한 중복 방치로 성과에 영향을 주면 1점 후보</t>
  </si>
  <si>
    <t>EQ1_I01 / EQ1_I02 / EQ1_I03 / EQ1_I04 / EQ1_I05</t>
  </si>
  <si>
    <t>핵심 Output 하나라도 100% 미만이면 최대 3점</t>
  </si>
  <si>
    <t>최종 성과표·목표/실적 원자료·중요도 지정표
1.00은 해당 요건이 완전 충족되고 문서 위치가 추적될 때만 부여</t>
  </si>
  <si>
    <t>핵심 Output 현저한 실패와 사유 부적절 시 1점 후보</t>
  </si>
  <si>
    <t>EQ2_I01 / EQ2_I02 / EQ2_I03 / EQ2_I04 / EQ2_I05</t>
  </si>
  <si>
    <t>달성률만 있고 지표 대표성·인과성이 없으면 최대 3점</t>
  </si>
  <si>
    <t>Outcome 전혀 미달성과 Goal 가능성 없음이면 1점 후보</t>
  </si>
  <si>
    <t>EQ3_I01 / EQ3_I02 / EQ3_I03 / EQ3_I04 / EQ3_I05</t>
  </si>
  <si>
    <t>필요한 분리데이터 없이 서술만 있으면 최대 3점</t>
  </si>
  <si>
    <t>취약계층 제약·취약성을 명백히 심화하면 1점 후보</t>
  </si>
  <si>
    <t>FQ1_I01 / FQ1_I02 / FQ1_I03 / FQ1_I04 / FQ1_I05</t>
  </si>
  <si>
    <t>Benchmark·대안 비교 없이 집행률만 있으면 최대 3점</t>
  </si>
  <si>
    <t>타당한 사유 없이 예산 또는 기간 150% 이상이면 1점 후보</t>
  </si>
  <si>
    <t>FQ2_I01 / FQ2_I02 / FQ2_I03 / FQ2_I04 / FQ2_I05</t>
  </si>
  <si>
    <t>추진 중 사후 조정만 확인되면 최대 3점</t>
  </si>
  <si>
    <t>투입·활동 불균형이 성과 미달에 심각한 영향을 주면 1점 후보</t>
  </si>
  <si>
    <t>SQ1_I01 / SQ1_I02 / SQ1_I03 / SQ1_I04 / SQ1_I05</t>
  </si>
  <si>
    <t>EQ2_I02</t>
  </si>
  <si>
    <t>단년도 예산 또는 외부지원이 필수이면 최대 3점</t>
  </si>
  <si>
    <t>위기대응·외부의존도 관리</t>
  </si>
  <si>
    <t>운영주체·예산·위기대응 기제가 모두 없으면 1점 후보</t>
  </si>
  <si>
    <t>SQ2_I01 / SQ2_I02 / SQ2_I03 / SQ2_I04 / SQ2_I05</t>
  </si>
  <si>
    <t>준비·협의 단계이면 최대 3점</t>
  </si>
  <si>
    <t>BCP·위기예산·대응훈련/사례·외부지원 축소계획</t>
  </si>
  <si>
    <t>제도·사회 환경 결함으로 지속·확장 불가능 시 1점 후보</t>
  </si>
  <si>
    <t>개발·운영 규칙</t>
  </si>
  <si>
    <t>내용</t>
  </si>
  <si>
    <t>성과와 증거 분리</t>
  </si>
  <si>
    <t>Performance Score, Evidence Confidence, Evaluation Quality를 분리 저장·표시</t>
  </si>
  <si>
    <t>장벽 조사·FGD·면담·참여제약과 우선수요 기록 · 사후평가 시점 확인자료</t>
  </si>
  <si>
    <t>Missing Evidence</t>
  </si>
  <si>
    <t>ND는 0점이 아니며 Coverage·Confidence와 4점 Gate에 반영</t>
  </si>
  <si>
    <t>결정론적 계산</t>
  </si>
  <si>
    <t>LLM은 근거를 추출하되 점수·게이트·상한·등급은 수식/룰 엔진이 계산</t>
  </si>
  <si>
    <t>평가자가 최종점수를 바꾸면 근거와 변경 이력을 별도 감사로그에 저장</t>
  </si>
  <si>
    <t>표적활동·합리적 편의·접근성 조치의 계획과 실행실적 · 사후평가 시점 확인자료</t>
  </si>
  <si>
    <t>근거 Locator</t>
  </si>
  <si>
    <t>문서명·버전·페이지/셀·최소 인용문을 기록</t>
  </si>
  <si>
    <t>Calibration</t>
  </si>
  <si>
    <t>40/60/80 및 세부 가중치는 전문가 재평가 자료로 보정</t>
  </si>
  <si>
    <t>호환성</t>
  </si>
  <si>
    <t>기존 종료평가용 1~4점·20점 체계와 4단계 등급을 유지</t>
  </si>
  <si>
    <t>사후평가 12개 질문 Gate·상한·Red Flag</t>
  </si>
  <si>
    <t>집단별 참여·산출·Outcome 원자료와 데이터사전 · 사후평가 시점 확인자료</t>
  </si>
  <si>
    <t>5개 항목 모두 1.00이고 현지 참여·수요분석·설계 추적성을 서로 다른 2종 이상 자료로 확인</t>
  </si>
  <si>
    <t>5개 항목 모두 1.00이고 대응 적시성·실제 실행·성과보전을 확인</t>
  </si>
  <si>
    <t>지표정의서·측정방법·표본·산식·검증 기록
1.00은 해당 요건이 완전 충족되고 문서 위치가 추적될 때만 부여</t>
  </si>
  <si>
    <t>5개 항목 모두 1.00이고 공식 조율과 실제 시너지·부가가치를 확인</t>
  </si>
  <si>
    <t>5개 항목 모두 1.00이고 공식 역할분담·중복방지·공동성과를 확인</t>
  </si>
  <si>
    <t>5개 항목 모두 1.00이고 모든 핵심 Output 100% 이상·품질 적합·활용 가능성을 확인</t>
  </si>
  <si>
    <t>격차분석·부정영향·민원·보완조치와 결과 · 사후평가 시점 확인자료</t>
  </si>
  <si>
    <t>EQ2_I03</t>
  </si>
  <si>
    <t>5개 항목 모두 1.00이고 모든 핵심 Outcome 달성·지표 대표성·사업 기여도를 확인</t>
  </si>
  <si>
    <t>5개 항목 모두 1.00이고 분리데이터·집단별 성과·Do-no-harm을 확인</t>
  </si>
  <si>
    <t>5개 항목 모두 1.00이고 Benchmark와 절감·단축·추가성과 중 하나 이상을 확인</t>
  </si>
  <si>
    <t>5개 항목 모두 1.00이고 기획단계 균형·적응관리·실제 시너지를 확인</t>
  </si>
  <si>
    <t>법·정책·제도화</t>
  </si>
  <si>
    <t>승인 법령·정책·지침·표준운영절차·정규사업 편입문서</t>
  </si>
  <si>
    <t>5개 항목 모두 1.00이고 다년도 재원·확보인력·유지보수·자체 위기대응을 확인</t>
  </si>
  <si>
    <t>지수 합계 &lt;0.40=1점
0.40~&lt;0.60=2점
0.60~&lt;0.80=3점
0.80~1.00=4점 후보
4점 Gate: 5개 항목 모두 1.00이고 승인·공식지정·시스템 통합·실제 운영/확산을 확인
상한: 준비·협의 단계이면 최대 3점</t>
  </si>
  <si>
    <t>5개 항목 모두 1.00이고 승인·공식지정·시스템 통합·실제 운영/확산을 확인</t>
  </si>
  <si>
    <t>5개 항목 모두 1.00이고 장기변화·사업 기여도·확산·제도전환을 서로 다른 2종 이상 자료로 확인</t>
  </si>
  <si>
    <t>직접 Outcome의 지속만 확인되고 광범위한 변화·기여도·전환효과가 입증되지 않으면 최대 3점</t>
  </si>
  <si>
    <t>사업 종료 후 사회·환경·경제적 피해 또는 부정적 시스템 변화가 객관적으로 확인되면 1점 후보</t>
  </si>
  <si>
    <t>최초/수정예산·실집행·예산비율·불용/초과 사유 · 사후평가 시점 확인자료</t>
  </si>
  <si>
    <t>책임기관·Mandate</t>
  </si>
  <si>
    <t>전담기관 지정서·조직규정·책임·권한·보고체계</t>
  </si>
  <si>
    <t>기존 시스템·예산·업무 통합</t>
  </si>
  <si>
    <t>업무절차·정보시스템·정규예산·인력체계 편입 기록</t>
  </si>
  <si>
    <t>최초/수정일정·실제기간·지연일수·핵심경로 · 사후평가 시점 확인자료</t>
  </si>
  <si>
    <t>사회적 수용성·환경사회 지속성</t>
  </si>
  <si>
    <t>동일 정의·모집단·방법의 기초선/종료선 자료
1.00은 해당 요건이 완전 충족되고 문서 위치가 추적될 때만 부여</t>
  </si>
  <si>
    <t>이용률·만족도·협의·민원·환경사회 관리와 조치 결과</t>
  </si>
  <si>
    <t>EQ2_I04</t>
  </si>
  <si>
    <t>원인분석·불가피성·변경승인·완화조치·책임기록 · 사후평가 시점 확인자료</t>
  </si>
  <si>
    <t>확산·복제·정규운영 실적</t>
  </si>
  <si>
    <t>확산 승인·타 지역/기관 복제·실제 운영·성과유지 자료</t>
  </si>
  <si>
    <t>시장조사·유사사업 단가·복수대안·조달 Lead Time 비교 · 사후평가 시점 확인자료</t>
  </si>
  <si>
    <t>단위당 비용·예산절감·공기단축·동일자원 추가성과 전후표 · 사후평가 시점 확인자료</t>
  </si>
  <si>
    <t>ToC·기여분석·대안설명 검토·2종 이상 자료 교차검증
1.00은 해당 요건이 완전 충족되고 문서 위치가 추적될 때만 부여</t>
  </si>
  <si>
    <t>EQ2_I05</t>
  </si>
  <si>
    <t>PDM·작업계획·투입별 활동/산출 연결표 · 사후평가 시점 확인자료</t>
  </si>
  <si>
    <t>일정 네트워크·핵심경로·선행조건·병목 분석 · 사후평가 시점 확인자료</t>
  </si>
  <si>
    <t>수혜자 조사·행정통계·사례·잔여위험·비의도 효과 분석
1.00은 해당 요건이 완전 충족되고 문서 위치가 추적될 때만 부여</t>
  </si>
  <si>
    <t>예산·인력·장비·기간 배분근거와 수요/우선순위 비교 · 사후평가 시점 확인자료</t>
  </si>
  <si>
    <t>EQ3_I01</t>
  </si>
  <si>
    <t>RACI·회의체·의사결정·인계·조정 기록 · 사후평가 시점 확인자료</t>
  </si>
  <si>
    <t>재배분/변경 이력과 품질·속도·범위 개선 전후자료 · 사후평가 시점 확인자료</t>
  </si>
  <si>
    <t>성·연령·장애·지역·소득 등 취약성 기준과 규모 분석
1.00은 해당 요건이 완전 충족되고 문서 위치가 추적될 때만 부여</t>
  </si>
  <si>
    <t>EQ3_I02</t>
  </si>
  <si>
    <t>공식 지정서·조직규정·의사결정/운영 기록 · 사후평가 시점 확인자료</t>
  </si>
  <si>
    <t>승인 예산서·재원확약·수입/비용 추정과 검증자료 · 사후평가 시점 확인자료</t>
  </si>
  <si>
    <t>장벽 조사·FGD·면담·참여제약과 우선수요 기록
1.00은 해당 요건이 완전 충족되고 문서 위치가 추적될 때만 부여</t>
  </si>
  <si>
    <t>EQ3_I03</t>
  </si>
  <si>
    <t>정원·직무기술서·배치·교육·인력유지 계획 · 사후평가 시점 확인자료</t>
  </si>
  <si>
    <t>표적활동·합리적 편의·접근성 조치의 계획과 실행실적
1.00은 해당 요건이 완전 충족되고 문서 위치가 추적될 때만 부여</t>
  </si>
  <si>
    <t>EQ3_I04</t>
  </si>
  <si>
    <t>O&amp;M 계획·비용·담당자·계약·재고/부품 조달 기록 · 사후평가 시점 확인자료</t>
  </si>
  <si>
    <t>6. 영향력</t>
  </si>
  <si>
    <t>6.1. 사업은 장기적이고 광범위한 관점에서 사회적, 환경적, 경제적으로 전환적 효과(transformative effect)를 달성하거나 달성할 가능성이 있는가?</t>
  </si>
  <si>
    <t>해당 사업 추진 및 종료 후 관리 조치가 사업 효과의 지속 및 확산을 저해할 뿐만 아니라 수원국의 사회, 환경, 경제적 개선에 전혀 기여하지 못하거나 부정적 영향을 미칠 것으로 판단됨.</t>
  </si>
  <si>
    <t>① 종료 후 사업효과가 유지되지 않거나 감소함. ② 사업과 관련된 사회·환경·경제적 부정효과가 추적자료로 확인됨. ③ 부정효과와 사업 또는 사후관리 미흡의 연결이 2종 이상 자료로 검증되면 1점.</t>
  </si>
  <si>
    <t>집단별 참여·산출·Outcome 원자료와 데이터사전
1.00은 해당 요건이 완전 충족되고 문서 위치가 추적될 때만 부여</t>
  </si>
  <si>
    <t>BCP·위기예산·대응훈련/사례·외부지원 축소계획 · 사후평가 시점 확인자료</t>
  </si>
  <si>
    <t>EQ3_I05</t>
  </si>
  <si>
    <t>평가 시점에서 사업 효과의 지속 유지 여부를 확인하기 어려우며, 사업으로 인한 사회, 환경, 경제적 변화를 확인하기 어려움.</t>
  </si>
  <si>
    <t>① 일부 직접효과는 남아 있으나 장기변화·확산·제도전환이 확인되지 않음. ② 종료 후 추세자료에서 상위수준 변화가 없거나 미미함이 확인되고 사업 기여도를 입증하지 못하면 2점. 자료 미제출만으로는 2점 확정 금지.</t>
  </si>
  <si>
    <t>승인 법령·정책·지침·표준운영절차·정규사업 편입문서 · 사후평가 시점 확인자료</t>
  </si>
  <si>
    <t>격차분석·부정영향·민원·보완조치와 결과
1.00은 해당 요건이 완전 충족되고 문서 위치가 추적될 때만 부여</t>
  </si>
  <si>
    <t>사업 효과의 즉각적이고 직접적인 효과가 지속되고 있으며, 이로 인해 수원국의 장기적인 사회·환경·경제적 변화에 어느정도 기여할 수 있을 것으로 판단됨.</t>
  </si>
  <si>
    <t>① 핵심 Outcome이 종료 후에도 유지됨. ② 수혜범위 확대 또는 후속활용 사례가 있음. ③ 사회·환경·경제적 장기변화에 대한 합리적 기여경로가 확인되나 변화의 범위·인과성·제도전환 중 일부가 제한되면 3점.</t>
  </si>
  <si>
    <t>전담기관 지정서·조직규정·책임·권한·보고체계 · 사후평가 시점 확인자료</t>
  </si>
  <si>
    <t>FQ1_I01</t>
  </si>
  <si>
    <t>사업종료 이후에도 직, 간접, 잠재적 사업성과가 지속적으로 확산 및 유지되어 수원국의 사회, 환경, 경제 전반의 패러다임 변화에 레버리지로 작용하였으며, 이러한 변화를 구체적인 사례로 검증할 수 있음.</t>
  </si>
  <si>
    <t>3점 요건을 충족하고 ① 상위수준 장기변화, ② 지역·기관·인구 수준의 확산, ③ 사업 기여도 교차검증, ④ 비의도 긍정·부정효과 분석, ⑤ 법·정책·예산·조직 등 시스템 전환을 모두 객관적 자료로 확인하면 4점.</t>
  </si>
  <si>
    <t>업무절차·정보시스템·정규예산·인력체계 편입 기록 · 사후평가 시점 확인자료</t>
  </si>
  <si>
    <t>영향력 평점</t>
  </si>
  <si>
    <t>최초/수정예산·실집행·예산비율·불용/초과 사유
1.00은 해당 요건이 완전 충족되고 문서 위치가 추적될 때만 부여</t>
  </si>
  <si>
    <t>이용률·만족도·협의·민원·환경사회 관리와 조치 결과 · 사후평가 시점 확인자료</t>
  </si>
  <si>
    <t>FQ1_I02</t>
  </si>
  <si>
    <t>최초/수정일정·실제기간·지연일수·핵심경로
1.00은 해당 요건이 완전 충족되고 문서 위치가 추적될 때만 부여</t>
  </si>
  <si>
    <t>FQ1_I03</t>
  </si>
  <si>
    <t>확산 승인·타 지역/기관 복제·실제 운영·성과유지 자료 · 사후평가 시점 확인자료</t>
  </si>
  <si>
    <t>원인분석·불가피성·변경승인·완화조치·책임기록
1.00은 해당 요건이 완전 충족되고 문서 위치가 추적될 때만 부여</t>
  </si>
  <si>
    <t>FQ1_I04</t>
  </si>
  <si>
    <t>상위수준 장기변화의 크기·중요성</t>
  </si>
  <si>
    <t>종료 후 추적조사·행정통계·Outcome/Impact proxy 장기추세</t>
  </si>
  <si>
    <t>지수 합계 &lt;0.40=1점
0.40~&lt;0.60=2점
0.60~&lt;0.80=3점
0.80~1.00=4점 후보
4점 Gate: 5개 항목 모두 1.00이고 장기변화·사업 기여도·확산·제도전환을 서로 다른 2종 이상 자료로 확인
상한: 직접 Outcome의 지속만 확인되고 광범위한 변화·기여도·전환효과가 입증되지 않으면 최대 3점</t>
  </si>
  <si>
    <t>변화의 범위·확산</t>
  </si>
  <si>
    <t>수혜지역·기관·인구 확대자료, 확산·복제 승인 및 실적</t>
  </si>
  <si>
    <t>ToC·기여분석·대안설명 검토·이해관계자 교차검증</t>
  </si>
  <si>
    <t>비의도 긍정·부정효과</t>
  </si>
  <si>
    <t>수혜자 조사·민원·감사·환경사회 자료·사례 분석</t>
  </si>
  <si>
    <t>제도·시스템 전환과 장기 지속</t>
  </si>
  <si>
    <t>법·정책·정규예산·조직·업무체계 통합 및 후속사업 자료</t>
  </si>
  <si>
    <t>시장조사·유사사업 단가·복수대안·조달 Lead Time 비교
1.00은 해당 요건이 완전 충족되고 문서 위치가 추적될 때만 부여</t>
  </si>
  <si>
    <t>FQ1_I05</t>
  </si>
  <si>
    <t>단위당 비용·예산절감·공기단축·동일자원 추가성과 전후표
1.00은 해당 요건이 완전 충족되고 문서 위치가 추적될 때만 부여</t>
  </si>
  <si>
    <t>FQ2_I01</t>
  </si>
  <si>
    <t>PDM·작업계획·투입별 활동/산출 연결표
1.00은 해당 요건이 완전 충족되고 문서 위치가 추적될 때만 부여</t>
  </si>
  <si>
    <t>FQ2_I02</t>
  </si>
  <si>
    <t>일정 네트워크·핵심경로·선행조건·병목 분석
1.00은 해당 요건이 완전 충족되고 문서 위치가 추적될 때만 부여</t>
  </si>
  <si>
    <t>FQ2_I03</t>
  </si>
  <si>
    <t>예산·인력·장비·기간 배분근거와 수요/우선순위 비교
1.00은 해당 요건이 완전 충족되고 문서 위치가 추적될 때만 부여</t>
  </si>
  <si>
    <t>FQ2_I04</t>
  </si>
  <si>
    <t>RACI·회의체·의사결정·인계·조정 기록
1.00은 해당 요건이 완전 충족되고 문서 위치가 추적될 때만 부여</t>
  </si>
  <si>
    <t>FQ2_I05</t>
  </si>
  <si>
    <t>재배분/변경 이력과 품질·속도·범위 개선 전후자료
1.00은 해당 요건이 완전 충족되고 문서 위치가 추적될 때만 부여</t>
  </si>
  <si>
    <t>SQ1_I01</t>
  </si>
  <si>
    <t>공식 지정서·조직규정·의사결정/운영 기록
1.00은 해당 요건이 완전 충족되고 문서 위치가 추적될 때만 부여</t>
  </si>
  <si>
    <t>SQ1_I02</t>
  </si>
  <si>
    <t>승인 예산서·재원확약·수입/비용 추정과 검증자료
1.00은 해당 요건이 완전 충족되고 문서 위치가 추적될 때만 부여</t>
  </si>
  <si>
    <t>SQ1_I03</t>
  </si>
  <si>
    <t>정원·직무기술서·배치·교육·인력유지 계획
1.00은 해당 요건이 완전 충족되고 문서 위치가 추적될 때만 부여</t>
  </si>
  <si>
    <t>SQ1_I04</t>
  </si>
  <si>
    <t>O&amp;M 계획·비용·담당자·계약·재고/부품 조달 기록
1.00은 해당 요건이 완전 충족되고 문서 위치가 추적될 때만 부여</t>
  </si>
  <si>
    <t>SQ1_I05</t>
  </si>
  <si>
    <t>BCP·위기예산·대응훈련/사례·외부지원 축소계획
1.00은 해당 요건이 완전 충족되고 문서 위치가 추적될 때만 부여</t>
  </si>
  <si>
    <t>SQ2_I01</t>
  </si>
  <si>
    <t>승인 법령·정책·지침·표준운영절차·정규사업 편입문서
1.00은 해당 요건이 완전 충족되고 문서 위치가 추적될 때만 부여</t>
  </si>
  <si>
    <t>SQ2_I02</t>
  </si>
  <si>
    <t>전담기관 지정서·조직규정·책임·권한·보고체계
1.00은 해당 요건이 완전 충족되고 문서 위치가 추적될 때만 부여</t>
  </si>
  <si>
    <t>SQ2_I03</t>
  </si>
  <si>
    <t>업무절차·정보시스템·정규예산·인력체계 편입 기록
1.00은 해당 요건이 완전 충족되고 문서 위치가 추적될 때만 부여</t>
  </si>
  <si>
    <t>SQ2_I04</t>
  </si>
  <si>
    <t>이용률·만족도·협의·민원·환경사회 관리와 조치 결과
1.00은 해당 요건이 완전 충족되고 문서 위치가 추적될 때만 부여</t>
  </si>
  <si>
    <t>SQ2_I05</t>
  </si>
  <si>
    <t>확산 승인·타 지역/기관 복제·실제 운영·성과유지 자료
1.00은 해당 요건이 완전 충족되고 문서 위치가 추적될 때만 부여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</si>
</sst>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4">
    <numFmt numFmtId="164" formatCode="0.0"/>
    <numFmt numFmtId="165" formatCode="0&quot;점&quot;"/>
    <numFmt numFmtId="166" formatCode="0.000"/>
    <numFmt numFmtId="167" formatCode="0.0&quot;점&quot;"/>
  </numFmts>
  <fonts count="19">
    <font>
      <sz val="11.0"/>
      <color theme="1"/>
      <name val="Calibri"/>
      <scheme val="minor"/>
    </font>
    <font>
      <b/>
      <sz val="16.0"/>
      <color rgb="FFFFFFFF"/>
      <name val="Aptos"/>
    </font>
    <font>
      <i/>
      <sz val="10.0"/>
      <color rgb="FF1F4E78"/>
      <name val="Aptos"/>
    </font>
    <font>
      <b/>
      <sz val="9.0"/>
      <color rgb="FF44546A"/>
      <name val="Aptos"/>
    </font>
    <font>
      <b/>
      <sz val="10.0"/>
      <color rgb="FFFFFFFF"/>
      <name val="Aptos"/>
    </font>
    <font>
      <sz val="11.0"/>
      <color theme="1"/>
      <name val="Malgun Gothic"/>
    </font>
    <font>
      <sz val="9.0"/>
      <color rgb="FF20262E"/>
      <name val="Aptos"/>
    </font>
    <font>
      <sz val="20.0"/>
      <color theme="1"/>
      <name val="Malgun Gothic"/>
    </font>
    <font/>
    <font>
      <sz val="15.0"/>
      <color theme="1"/>
      <name val="Malgun Gothic"/>
    </font>
    <font>
      <b/>
      <sz val="15.0"/>
      <color theme="1"/>
      <name val="Malgun Gothic"/>
    </font>
    <font>
      <b/>
      <sz val="15.0"/>
      <color rgb="FF0070C0"/>
      <name val="Malgun Gothic"/>
    </font>
    <font>
      <i/>
      <sz val="8.0"/>
      <color rgb="FF44546A"/>
      <name val="Aptos"/>
    </font>
    <font>
      <b/>
      <sz val="10.0"/>
      <color rgb="FF20262E"/>
      <name val="Aptos"/>
    </font>
    <font>
      <b/>
      <sz val="20.0"/>
      <color theme="1"/>
      <name val="Malgun Gothic"/>
    </font>
    <font>
      <b/>
      <sz val="13.0"/>
      <color theme="1"/>
      <name val="Malgun Gothic"/>
    </font>
    <font>
      <sz val="11.0"/>
      <color theme="1"/>
      <name val="Calibri"/>
    </font>
    <font>
      <b/>
      <sz val="11.0"/>
      <color rgb="FF006100"/>
      <name val="Aptos"/>
    </font>
    <font>
      <b/>
      <sz val="16.0"/>
      <color theme="1"/>
      <name val="Malgun Gothic"/>
    </font>
  </fonts>
  <fills count="14">
    <fill>
      <patternFill patternType="none"/>
    </fill>
    <fill>
      <patternFill patternType="lightGray"/>
    </fill>
    <fill>
      <patternFill patternType="solid">
        <fgColor rgb="FF1F4E78"/>
        <bgColor rgb="FF1F4E78"/>
      </patternFill>
    </fill>
    <fill>
      <patternFill patternType="solid">
        <fgColor rgb="FFEAF3F8"/>
        <bgColor rgb="FFEAF3F8"/>
      </patternFill>
    </fill>
    <fill>
      <patternFill patternType="solid">
        <fgColor rgb="FFF3F6F8"/>
        <bgColor rgb="FFF3F6F8"/>
      </patternFill>
    </fill>
    <fill>
      <patternFill patternType="solid">
        <fgColor rgb="FFFBE4D5"/>
        <bgColor rgb="FFFBE4D5"/>
      </patternFill>
    </fill>
    <fill>
      <patternFill patternType="solid">
        <fgColor rgb="FFF2F2F2"/>
        <bgColor rgb="FFF2F2F2"/>
      </patternFill>
    </fill>
    <fill>
      <patternFill patternType="solid">
        <fgColor rgb="FFFFF2CB"/>
        <bgColor rgb="FFFFF2CB"/>
      </patternFill>
    </fill>
    <fill>
      <patternFill patternType="solid">
        <fgColor rgb="FFFFF2CC"/>
        <bgColor rgb="FFFFF2CC"/>
      </patternFill>
    </fill>
    <fill>
      <patternFill patternType="solid">
        <fgColor rgb="FFFCE4D6"/>
        <bgColor rgb="FFFCE4D6"/>
      </patternFill>
    </fill>
    <fill>
      <patternFill patternType="solid">
        <fgColor rgb="FFE2F0D9"/>
        <bgColor rgb="FFE2F0D9"/>
      </patternFill>
    </fill>
    <fill>
      <patternFill patternType="solid">
        <fgColor rgb="FFE7E6E6"/>
        <bgColor rgb="FFE7E6E6"/>
      </patternFill>
    </fill>
    <fill>
      <patternFill patternType="solid">
        <fgColor rgb="FFD9EAF7"/>
        <bgColor rgb="FFD9EAF7"/>
      </patternFill>
    </fill>
    <fill>
      <patternFill patternType="solid">
        <fgColor rgb="FFFFFF00"/>
        <bgColor rgb="FFFFFF00"/>
      </patternFill>
    </fill>
  </fills>
  <borders count="33">
    <border/>
    <border>
      <left style="thin">
        <color rgb="FFB7C3CE"/>
      </left>
      <right style="thin">
        <color rgb="FFB7C3CE"/>
      </right>
      <top style="thin">
        <color rgb="FFB7C3CE"/>
      </top>
      <bottom style="thin">
        <color rgb="FFB7C3CE"/>
      </bottom>
    </border>
    <border>
      <left style="medium">
        <color rgb="FF000000"/>
      </left>
      <top style="medium">
        <color rgb="FF000000"/>
      </top>
      <bottom style="medium">
        <color rgb="FF000000"/>
      </bottom>
    </border>
    <border>
      <top style="medium">
        <color rgb="FF000000"/>
      </top>
      <bottom style="medium">
        <color rgb="FF000000"/>
      </bottom>
    </border>
    <border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 style="medium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</border>
    <border>
      <left style="thin">
        <color rgb="FFB7C3CE"/>
      </left>
      <right style="thin">
        <color rgb="FFB7C3CE"/>
      </right>
      <top style="thin">
        <color rgb="FFB7C3CE"/>
      </top>
    </border>
    <border>
      <left style="medium">
        <color rgb="FF000000"/>
      </left>
      <right style="thin">
        <color rgb="FF000000"/>
      </right>
    </border>
    <border>
      <left style="thin">
        <color rgb="FF000000"/>
      </left>
      <right style="thin">
        <color rgb="FF000000"/>
      </right>
    </border>
    <border>
      <left style="thin">
        <color rgb="FFB7C3CE"/>
      </left>
      <right style="thin">
        <color rgb="FFB7C3CE"/>
      </right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B7C3CE"/>
      </left>
      <right style="thin">
        <color rgb="FFB7C3CE"/>
      </right>
      <bottom style="thin">
        <color rgb="FFB7C3CE"/>
      </bottom>
    </border>
    <border>
      <left style="medium">
        <color rgb="FF000000"/>
      </left>
      <right style="thin">
        <color rgb="FF000000"/>
      </right>
      <bottom style="thin">
        <color rgb="FF000000"/>
      </bottom>
    </border>
    <border>
      <left style="medium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top style="thin">
        <color rgb="FF000000"/>
      </top>
    </border>
    <border>
      <right style="thin">
        <color rgb="FF000000"/>
      </right>
      <top style="thin">
        <color rgb="FF000000"/>
      </top>
    </border>
    <border>
      <left style="thin">
        <color rgb="FFB7C3CE"/>
      </left>
      <top style="thin">
        <color rgb="FFB7C3CE"/>
      </top>
      <bottom style="thin">
        <color rgb="FFB7C3CE"/>
      </bottom>
    </border>
    <border>
      <top style="thin">
        <color rgb="FFB7C3CE"/>
      </top>
      <bottom style="thin">
        <color rgb="FFB7C3CE"/>
      </bottom>
    </border>
    <border>
      <right style="thin">
        <color rgb="FFB7C3CE"/>
      </right>
      <top style="thin">
        <color rgb="FFB7C3CE"/>
      </top>
      <bottom style="thin">
        <color rgb="FFB7C3CE"/>
      </bottom>
    </border>
    <border>
      <left style="medium">
        <color rgb="FF000000"/>
      </left>
      <bottom style="medium">
        <color rgb="FF000000"/>
      </bottom>
    </border>
    <border>
      <right style="thin">
        <color rgb="FF000000"/>
      </right>
      <bottom style="medium">
        <color rgb="FF000000"/>
      </bottom>
    </border>
    <border>
      <left style="thin">
        <color rgb="FF000000"/>
      </left>
      <top style="thin">
        <color rgb="FF000000"/>
      </top>
      <bottom style="medium">
        <color rgb="FF000000"/>
      </bottom>
    </border>
    <border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</border>
  </borders>
  <cellStyleXfs count="1">
    <xf borderId="0" fillId="0" fontId="0" numFmtId="0" applyAlignment="1" applyFont="1"/>
  </cellStyleXfs>
  <cellXfs count="93">
    <xf borderId="0" fillId="0" fontId="0" numFmtId="0" xfId="0" applyAlignment="1" applyFont="1">
      <alignment readingOrder="0" shrinkToFit="0" vertical="center" wrapText="0"/>
    </xf>
    <xf borderId="0" fillId="2" fontId="1" numFmtId="0" xfId="0" applyAlignment="1" applyFill="1" applyFont="1">
      <alignment horizontal="center" shrinkToFit="0" vertical="center" wrapText="0"/>
    </xf>
    <xf borderId="0" fillId="3" fontId="2" numFmtId="0" xfId="0" applyAlignment="1" applyFill="1" applyFont="1">
      <alignment shrinkToFit="0" vertical="center" wrapText="1"/>
    </xf>
    <xf borderId="1" fillId="4" fontId="3" numFmtId="0" xfId="0" applyAlignment="1" applyBorder="1" applyFill="1" applyFont="1">
      <alignment shrinkToFit="0" vertical="center" wrapText="0"/>
    </xf>
    <xf borderId="1" fillId="2" fontId="4" numFmtId="0" xfId="0" applyAlignment="1" applyBorder="1" applyFill="1" applyFont="1">
      <alignment horizontal="center" shrinkToFit="0" vertical="center" wrapText="1"/>
    </xf>
    <xf borderId="0" fillId="0" fontId="5" numFmtId="0" xfId="0" applyAlignment="1" applyFont="1">
      <alignment horizontal="center" vertical="center"/>
    </xf>
    <xf borderId="1" fillId="0" fontId="6" numFmtId="0" xfId="0" applyAlignment="1" applyBorder="1" applyFont="1">
      <alignment shrinkToFit="0" vertical="center" wrapText="1"/>
    </xf>
    <xf borderId="2" fillId="0" fontId="7" numFmtId="0" xfId="0" applyAlignment="1" applyBorder="1" applyFont="1">
      <alignment horizontal="center" vertical="center"/>
    </xf>
    <xf borderId="0" fillId="4" fontId="2" numFmtId="0" xfId="0" applyAlignment="1" applyFill="1" applyFont="1">
      <alignment shrinkToFit="0" vertical="center" wrapText="1"/>
    </xf>
    <xf borderId="3" fillId="0" fontId="8" numFmtId="0" xfId="0" applyAlignment="1" applyBorder="1" applyFont="1">
      <alignment vertical="center"/>
    </xf>
    <xf borderId="4" fillId="0" fontId="8" numFmtId="0" xfId="0" applyAlignment="1" applyBorder="1" applyFont="1">
      <alignment vertical="center"/>
    </xf>
    <xf borderId="0" fillId="0" fontId="9" numFmtId="0" xfId="0" applyAlignment="1" applyFont="1">
      <alignment vertical="center"/>
    </xf>
    <xf borderId="0" fillId="0" fontId="10" numFmtId="0" xfId="0" applyAlignment="1" applyFont="1">
      <alignment vertical="center"/>
    </xf>
    <xf borderId="0" fillId="0" fontId="9" numFmtId="0" xfId="0" applyAlignment="1" applyFont="1">
      <alignment horizontal="left" vertical="center"/>
    </xf>
    <xf borderId="0" fillId="0" fontId="9" numFmtId="0" xfId="0" applyAlignment="1" applyFont="1">
      <alignment horizontal="center" vertical="center"/>
    </xf>
    <xf borderId="0" fillId="2" fontId="1" numFmtId="0" xfId="0" applyAlignment="1" applyFill="1" applyFont="1">
      <alignment horizontal="center" vertical="center"/>
    </xf>
    <xf borderId="1" fillId="4" fontId="6" numFmtId="164" xfId="0" applyAlignment="1" applyBorder="1" applyFill="1" applyFont="1" applyNumberFormat="1">
      <alignment shrinkToFit="0" vertical="center" wrapText="1"/>
    </xf>
    <xf borderId="0" fillId="5" fontId="11" numFmtId="0" xfId="0" applyAlignment="1" applyFill="1" applyFont="1">
      <alignment horizontal="left" shrinkToFit="0" vertical="center" wrapText="1"/>
    </xf>
    <xf borderId="1" fillId="4" fontId="6" numFmtId="9" xfId="0" applyAlignment="1" applyBorder="1" applyFill="1" applyFont="1" applyNumberFormat="1">
      <alignment shrinkToFit="0" vertical="center" wrapText="1"/>
    </xf>
    <xf borderId="1" fillId="0" fontId="6" numFmtId="0" xfId="0" applyAlignment="1" applyBorder="1" applyFont="1">
      <alignment horizontal="center" shrinkToFit="0" vertical="center" wrapText="1"/>
    </xf>
    <xf borderId="1" fillId="4" fontId="12" numFmtId="0" xfId="0" applyAlignment="1" applyBorder="1" applyFill="1" applyFont="1">
      <alignment horizontal="left" shrinkToFit="0" vertical="center" wrapText="1"/>
    </xf>
    <xf borderId="5" fillId="6" fontId="10" numFmtId="0" xfId="0" applyAlignment="1" applyBorder="1" applyFill="1" applyFont="1">
      <alignment horizontal="center" shrinkToFit="0" vertical="center" wrapText="1"/>
    </xf>
    <xf borderId="1" fillId="0" fontId="6" numFmtId="1" xfId="0" applyAlignment="1" applyBorder="1" applyFont="1" applyNumberFormat="1">
      <alignment horizontal="center" shrinkToFit="0" vertical="center" wrapText="1"/>
    </xf>
    <xf borderId="6" fillId="6" fontId="10" numFmtId="0" xfId="0" applyAlignment="1" applyBorder="1" applyFill="1" applyFont="1">
      <alignment horizontal="center" shrinkToFit="0" vertical="center" wrapText="1"/>
    </xf>
    <xf borderId="6" fillId="7" fontId="10" numFmtId="0" xfId="0" applyAlignment="1" applyBorder="1" applyFill="1" applyFont="1">
      <alignment horizontal="center" shrinkToFit="0" vertical="center" wrapText="1"/>
    </xf>
    <xf borderId="7" fillId="7" fontId="10" numFmtId="0" xfId="0" applyAlignment="1" applyBorder="1" applyFill="1" applyFont="1">
      <alignment horizontal="center" shrinkToFit="0" vertical="center" wrapText="1"/>
    </xf>
    <xf borderId="8" fillId="8" fontId="13" numFmtId="0" xfId="0" applyAlignment="1" applyBorder="1" applyFill="1" applyFont="1">
      <alignment horizontal="center" shrinkToFit="0" vertical="center" wrapText="1"/>
    </xf>
    <xf borderId="1" fillId="4" fontId="6" numFmtId="0" xfId="0" applyAlignment="1" applyBorder="1" applyFill="1" applyFont="1">
      <alignment horizontal="center" shrinkToFit="0" vertical="center" wrapText="1"/>
    </xf>
    <xf borderId="9" fillId="0" fontId="14" numFmtId="0" xfId="0" applyAlignment="1" applyBorder="1" applyFont="1">
      <alignment horizontal="center" vertical="center"/>
    </xf>
    <xf borderId="1" fillId="4" fontId="6" numFmtId="2" xfId="0" applyAlignment="1" applyBorder="1" applyFill="1" applyFont="1" applyNumberFormat="1">
      <alignment horizontal="center" shrinkToFit="0" vertical="center" wrapText="1"/>
    </xf>
    <xf borderId="10" fillId="0" fontId="9" numFmtId="0" xfId="0" applyAlignment="1" applyBorder="1" applyFont="1">
      <alignment horizontal="left" shrinkToFit="0" vertical="center" wrapText="1"/>
    </xf>
    <xf borderId="10" fillId="0" fontId="15" numFmtId="164" xfId="0" applyAlignment="1" applyBorder="1" applyFont="1" applyNumberFormat="1">
      <alignment horizontal="right" vertical="center"/>
    </xf>
    <xf borderId="10" fillId="0" fontId="15" numFmtId="165" xfId="0" applyAlignment="1" applyBorder="1" applyFont="1" applyNumberFormat="1">
      <alignment horizontal="right" vertical="center"/>
    </xf>
    <xf borderId="10" fillId="0" fontId="15" numFmtId="0" xfId="0" applyAlignment="1" applyBorder="1" applyFont="1">
      <alignment horizontal="left" vertical="center"/>
    </xf>
    <xf borderId="11" fillId="0" fontId="5" numFmtId="0" xfId="0" applyAlignment="1" applyBorder="1" applyFont="1">
      <alignment horizontal="center" vertical="center"/>
    </xf>
    <xf borderId="12" fillId="0" fontId="5" numFmtId="0" xfId="0" applyAlignment="1" applyBorder="1" applyFont="1">
      <alignment shrinkToFit="0" vertical="center" wrapText="1"/>
    </xf>
    <xf borderId="0" fillId="9" fontId="6" numFmtId="0" xfId="0" applyAlignment="1" applyFill="1" applyFont="1">
      <alignment horizontal="left" shrinkToFit="0" vertical="top" wrapText="1"/>
    </xf>
    <xf borderId="1" fillId="4" fontId="6" numFmtId="164" xfId="0" applyAlignment="1" applyBorder="1" applyFill="1" applyFont="1" applyNumberFormat="1">
      <alignment horizontal="center" shrinkToFit="0" vertical="center" wrapText="1"/>
    </xf>
    <xf borderId="1" fillId="4" fontId="6" numFmtId="9" xfId="0" applyAlignment="1" applyBorder="1" applyFill="1" applyFont="1" applyNumberFormat="1">
      <alignment horizontal="center" shrinkToFit="0" vertical="center" wrapText="1"/>
    </xf>
    <xf borderId="1" fillId="8" fontId="6" numFmtId="164" xfId="0" applyAlignment="1" applyBorder="1" applyFill="1" applyFont="1" applyNumberFormat="1">
      <alignment shrinkToFit="0" vertical="center" wrapText="1"/>
    </xf>
    <xf borderId="1" fillId="8" fontId="6" numFmtId="164" xfId="0" applyAlignment="1" applyBorder="1" applyFill="1" applyFont="1" applyNumberFormat="1">
      <alignment horizontal="center" shrinkToFit="0" vertical="center" wrapText="1"/>
    </xf>
    <xf borderId="1" fillId="4" fontId="6" numFmtId="0" xfId="0" applyAlignment="1" applyBorder="1" applyFill="1" applyFont="1">
      <alignment shrinkToFit="0" vertical="center" wrapText="1"/>
    </xf>
    <xf borderId="13" fillId="3" fontId="6" numFmtId="0" xfId="0" applyAlignment="1" applyBorder="1" applyFill="1" applyFont="1">
      <alignment horizontal="center" shrinkToFit="0" vertical="center" wrapText="1"/>
    </xf>
    <xf borderId="1" fillId="0" fontId="6" numFmtId="9" xfId="0" applyAlignment="1" applyBorder="1" applyFont="1" applyNumberFormat="1">
      <alignment horizontal="center" shrinkToFit="0" vertical="center" wrapText="1"/>
    </xf>
    <xf borderId="1" fillId="0" fontId="6" numFmtId="2" xfId="0" applyAlignment="1" applyBorder="1" applyFont="1" applyNumberFormat="1">
      <alignment horizontal="center" shrinkToFit="0" vertical="center" wrapText="1"/>
    </xf>
    <xf borderId="13" fillId="3" fontId="6" numFmtId="0" xfId="0" applyAlignment="1" applyBorder="1" applyFill="1" applyFont="1">
      <alignment shrinkToFit="0" vertical="center" wrapText="1"/>
    </xf>
    <xf borderId="1" fillId="8" fontId="6" numFmtId="0" xfId="0" applyAlignment="1" applyBorder="1" applyFill="1" applyFont="1">
      <alignment horizontal="center" shrinkToFit="0" vertical="center" wrapText="1"/>
    </xf>
    <xf borderId="1" fillId="4" fontId="6" numFmtId="166" xfId="0" applyAlignment="1" applyBorder="1" applyFill="1" applyFont="1" applyNumberFormat="1">
      <alignment horizontal="center" shrinkToFit="0" vertical="center" wrapText="1"/>
    </xf>
    <xf borderId="1" fillId="8" fontId="6" numFmtId="0" xfId="0" applyAlignment="1" applyBorder="1" applyFill="1" applyFont="1">
      <alignment shrinkToFit="0" vertical="center" wrapText="1"/>
    </xf>
    <xf borderId="14" fillId="0" fontId="8" numFmtId="0" xfId="0" applyAlignment="1" applyBorder="1" applyFont="1">
      <alignment vertical="center"/>
    </xf>
    <xf borderId="15" fillId="0" fontId="8" numFmtId="0" xfId="0" applyAlignment="1" applyBorder="1" applyFont="1">
      <alignment vertical="center"/>
    </xf>
    <xf borderId="0" fillId="8" fontId="6" numFmtId="0" xfId="0" applyAlignment="1" applyFill="1" applyFont="1">
      <alignment horizontal="left" shrinkToFit="0" vertical="top" wrapText="1"/>
    </xf>
    <xf borderId="16" fillId="0" fontId="8" numFmtId="0" xfId="0" applyAlignment="1" applyBorder="1" applyFont="1">
      <alignment vertical="center"/>
    </xf>
    <xf borderId="0" fillId="3" fontId="6" numFmtId="0" xfId="0" applyAlignment="1" applyFill="1" applyFont="1">
      <alignment horizontal="left" shrinkToFit="0" vertical="top" wrapText="1"/>
    </xf>
    <xf borderId="17" fillId="0" fontId="8" numFmtId="0" xfId="0" applyAlignment="1" applyBorder="1" applyFont="1">
      <alignment vertical="center"/>
    </xf>
    <xf borderId="0" fillId="10" fontId="6" numFmtId="0" xfId="0" applyAlignment="1" applyFill="1" applyFont="1">
      <alignment horizontal="left" shrinkToFit="0" vertical="top" wrapText="1"/>
    </xf>
    <xf borderId="18" fillId="0" fontId="8" numFmtId="0" xfId="0" applyAlignment="1" applyBorder="1" applyFont="1">
      <alignment vertical="center"/>
    </xf>
    <xf borderId="13" fillId="4" fontId="6" numFmtId="0" xfId="0" applyAlignment="1" applyBorder="1" applyFill="1" applyFont="1">
      <alignment horizontal="center" shrinkToFit="0" vertical="center" wrapText="1"/>
    </xf>
    <xf borderId="13" fillId="4" fontId="6" numFmtId="0" xfId="0" applyAlignment="1" applyBorder="1" applyFill="1" applyFont="1">
      <alignment shrinkToFit="0" vertical="center" wrapText="1"/>
    </xf>
    <xf borderId="19" fillId="0" fontId="8" numFmtId="0" xfId="0" applyAlignment="1" applyBorder="1" applyFont="1">
      <alignment vertical="center"/>
    </xf>
    <xf borderId="20" fillId="11" fontId="10" numFmtId="0" xfId="0" applyAlignment="1" applyBorder="1" applyFill="1" applyFont="1">
      <alignment horizontal="center" vertical="center"/>
    </xf>
    <xf borderId="21" fillId="0" fontId="8" numFmtId="0" xfId="0" applyAlignment="1" applyBorder="1" applyFont="1">
      <alignment vertical="center"/>
    </xf>
    <xf borderId="11" fillId="11" fontId="10" numFmtId="167" xfId="0" applyAlignment="1" applyBorder="1" applyFill="1" applyFont="1" applyNumberFormat="1">
      <alignment horizontal="center" vertical="center"/>
    </xf>
    <xf borderId="11" fillId="11" fontId="10" numFmtId="0" xfId="0" applyAlignment="1" applyBorder="1" applyFill="1" applyFont="1">
      <alignment horizontal="left" vertical="center"/>
    </xf>
    <xf borderId="11" fillId="11" fontId="5" numFmtId="0" xfId="0" applyAlignment="1" applyBorder="1" applyFill="1" applyFont="1">
      <alignment horizontal="center" vertical="center"/>
    </xf>
    <xf borderId="12" fillId="11" fontId="5" numFmtId="0" xfId="0" applyAlignment="1" applyBorder="1" applyFill="1" applyFont="1">
      <alignment vertical="center"/>
    </xf>
    <xf borderId="0" fillId="11" fontId="16" numFmtId="0" xfId="0" applyAlignment="1" applyFill="1" applyFont="1">
      <alignment shrinkToFit="0" vertical="center" wrapText="0"/>
    </xf>
    <xf borderId="11" fillId="11" fontId="10" numFmtId="164" xfId="0" applyAlignment="1" applyBorder="1" applyFill="1" applyFont="1" applyNumberFormat="1">
      <alignment horizontal="center" vertical="center"/>
    </xf>
    <xf borderId="10" fillId="0" fontId="9" numFmtId="0" xfId="0" applyAlignment="1" applyBorder="1" applyFont="1">
      <alignment horizontal="left" vertical="center"/>
    </xf>
    <xf borderId="12" fillId="0" fontId="5" numFmtId="0" xfId="0" applyAlignment="1" applyBorder="1" applyFont="1">
      <alignment vertical="center"/>
    </xf>
    <xf borderId="1" fillId="12" fontId="6" numFmtId="0" xfId="0" applyAlignment="1" applyBorder="1" applyFill="1" applyFont="1">
      <alignment shrinkToFit="0" vertical="center" wrapText="1"/>
    </xf>
    <xf borderId="1" fillId="0" fontId="6" numFmtId="164" xfId="0" applyAlignment="1" applyBorder="1" applyFont="1" applyNumberFormat="1">
      <alignment shrinkToFit="0" vertical="center" wrapText="1"/>
    </xf>
    <xf borderId="1" fillId="0" fontId="6" numFmtId="9" xfId="0" applyAlignment="1" applyBorder="1" applyFont="1" applyNumberFormat="1">
      <alignment shrinkToFit="0" vertical="center" wrapText="1"/>
    </xf>
    <xf borderId="1" fillId="11" fontId="6" numFmtId="0" xfId="0" applyAlignment="1" applyBorder="1" applyFill="1" applyFont="1">
      <alignment shrinkToFit="0" vertical="center" wrapText="1"/>
    </xf>
    <xf borderId="1" fillId="10" fontId="17" numFmtId="164" xfId="0" applyAlignment="1" applyBorder="1" applyFill="1" applyFont="1" applyNumberFormat="1">
      <alignment shrinkToFit="0" vertical="center" wrapText="1"/>
    </xf>
    <xf borderId="1" fillId="10" fontId="17" numFmtId="0" xfId="0" applyAlignment="1" applyBorder="1" applyFill="1" applyFont="1">
      <alignment shrinkToFit="0" vertical="center" wrapText="1"/>
    </xf>
    <xf borderId="0" fillId="0" fontId="7" numFmtId="0" xfId="0" applyAlignment="1" applyFont="1">
      <alignment horizontal="center" vertical="center"/>
    </xf>
    <xf borderId="22" fillId="13" fontId="14" numFmtId="0" xfId="0" applyAlignment="1" applyBorder="1" applyFill="1" applyFont="1">
      <alignment horizontal="center" vertical="center"/>
    </xf>
    <xf borderId="23" fillId="0" fontId="8" numFmtId="0" xfId="0" applyAlignment="1" applyBorder="1" applyFont="1">
      <alignment vertical="center"/>
    </xf>
    <xf borderId="11" fillId="13" fontId="7" numFmtId="0" xfId="0" applyAlignment="1" applyBorder="1" applyFill="1" applyFont="1">
      <alignment horizontal="center" vertical="center"/>
    </xf>
    <xf borderId="11" fillId="13" fontId="7" numFmtId="0" xfId="0" applyAlignment="1" applyBorder="1" applyFill="1" applyFont="1">
      <alignment horizontal="left" vertical="center"/>
    </xf>
    <xf borderId="1" fillId="0" fontId="6" numFmtId="1" xfId="0" applyAlignment="1" applyBorder="1" applyFont="1" applyNumberFormat="1">
      <alignment shrinkToFit="0" vertical="center" wrapText="1"/>
    </xf>
    <xf borderId="12" fillId="13" fontId="7" numFmtId="0" xfId="0" applyAlignment="1" applyBorder="1" applyFill="1" applyFont="1">
      <alignment horizontal="center" vertical="center"/>
    </xf>
    <xf borderId="24" fillId="0" fontId="6" numFmtId="0" xfId="0" applyAlignment="1" applyBorder="1" applyFont="1">
      <alignment shrinkToFit="0" vertical="center" wrapText="1"/>
    </xf>
    <xf borderId="25" fillId="0" fontId="8" numFmtId="0" xfId="0" applyAlignment="1" applyBorder="1" applyFont="1">
      <alignment vertical="center"/>
    </xf>
    <xf borderId="26" fillId="0" fontId="8" numFmtId="0" xfId="0" applyAlignment="1" applyBorder="1" applyFont="1">
      <alignment vertical="center"/>
    </xf>
    <xf borderId="27" fillId="0" fontId="8" numFmtId="0" xfId="0" applyAlignment="1" applyBorder="1" applyFont="1">
      <alignment vertical="center"/>
    </xf>
    <xf borderId="28" fillId="0" fontId="8" numFmtId="0" xfId="0" applyAlignment="1" applyBorder="1" applyFont="1">
      <alignment vertical="center"/>
    </xf>
    <xf borderId="29" fillId="13" fontId="18" numFmtId="0" xfId="0" applyAlignment="1" applyBorder="1" applyFill="1" applyFont="1">
      <alignment horizontal="center" vertical="center"/>
    </xf>
    <xf borderId="30" fillId="0" fontId="8" numFmtId="0" xfId="0" applyAlignment="1" applyBorder="1" applyFont="1">
      <alignment vertical="center"/>
    </xf>
    <xf borderId="31" fillId="13" fontId="5" numFmtId="0" xfId="0" applyAlignment="1" applyBorder="1" applyFill="1" applyFont="1">
      <alignment horizontal="center" vertical="center"/>
    </xf>
    <xf borderId="32" fillId="13" fontId="5" numFmtId="0" xfId="0" applyAlignment="1" applyBorder="1" applyFill="1" applyFont="1">
      <alignment vertical="center"/>
    </xf>
    <xf borderId="11" fillId="13" fontId="7" numFmtId="164" xfId="0" applyAlignment="1" applyBorder="1" applyFill="1" applyFont="1" applyNumberFormat="1">
      <alignment horizontal="center" vertical="center"/>
    </xf>
  </cellXfs>
  <cellStyles count="1">
    <cellStyle xfId="0" name="Normal" builtinId="0"/>
  </cellStyles>
  <dxfs count="2">
    <dxf>
      <font>
        <b/>
        <color rgb="FF9C0006"/>
      </font>
      <fill>
        <patternFill patternType="solid">
          <fgColor rgb="FFFCE4D6"/>
          <bgColor rgb="FFFCE4D6"/>
        </patternFill>
      </fill>
      <border/>
    </dxf>
    <dxf>
      <font>
        <b/>
        <color rgb="FF006100"/>
      </font>
      <fill>
        <patternFill patternType="solid">
          <fgColor rgb="FFE2F0D9"/>
          <bgColor rgb="FFE2F0D9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customschemas.google.com/relationships/workbookmetadata" Target="metadata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6.0"/>
    <col customWidth="1" min="2" max="2" width="30.71"/>
    <col customWidth="1" min="3" max="3" width="80.29"/>
    <col customWidth="1" min="4" max="5" width="12.71"/>
    <col customWidth="1" min="6" max="6" width="11.71"/>
    <col customWidth="1" min="7" max="7" width="81.86"/>
    <col customWidth="1" min="8" max="8" width="68.0"/>
    <col customWidth="1" min="9" max="9" width="3.0"/>
    <col customWidth="1" min="10" max="10" width="10.0"/>
    <col customWidth="1" min="11" max="11" width="33.0"/>
    <col customWidth="1" min="12" max="13" width="10.0"/>
    <col customWidth="1" min="14" max="16" width="11.0"/>
    <col customWidth="1" min="17" max="17" width="10.0"/>
    <col customWidth="1" min="18" max="18" width="11.0"/>
    <col customWidth="1" min="19" max="19" width="10.0"/>
    <col customWidth="1" min="20" max="20" width="13.0"/>
    <col customWidth="1" min="21" max="21" width="9.0"/>
    <col customWidth="1" min="22" max="22" width="34.0"/>
    <col customWidth="1" min="23" max="23" width="9.0"/>
    <col customWidth="1" min="24" max="24" width="30.0"/>
    <col customWidth="1" min="25" max="25" width="11.0"/>
    <col customWidth="1" min="26" max="26" width="13.0"/>
    <col customWidth="1" min="27" max="27" width="43.0"/>
    <col customWidth="1" min="28" max="28" width="27.0"/>
    <col customWidth="1" min="29" max="29" width="45.0"/>
    <col customWidth="1" min="30" max="35" width="11.0"/>
    <col customWidth="1" min="36" max="37" width="12.0"/>
    <col customWidth="1" min="38" max="38" width="15.0"/>
    <col customWidth="1" min="39" max="39" width="34.0"/>
    <col customWidth="1" min="40" max="40" width="13.0"/>
  </cols>
  <sheetData>
    <row r="1" ht="16.5" customHeight="1">
      <c r="F1" s="5"/>
    </row>
    <row r="2" ht="77.25" customHeight="1">
      <c r="B2" s="7" t="s">
        <v>30</v>
      </c>
      <c r="C2" s="9"/>
      <c r="D2" s="9"/>
      <c r="E2" s="9"/>
      <c r="F2" s="9"/>
      <c r="G2" s="10"/>
    </row>
    <row r="3" ht="16.5" customHeight="1">
      <c r="F3" s="5"/>
    </row>
    <row r="4" ht="30.0" customHeight="1">
      <c r="A4" s="11"/>
      <c r="B4" s="12" t="s">
        <v>36</v>
      </c>
      <c r="C4" s="13"/>
      <c r="F4" s="14"/>
      <c r="G4" s="11"/>
      <c r="H4" s="11"/>
      <c r="I4" s="11"/>
      <c r="J4" s="15" t="s">
        <v>42</v>
      </c>
      <c r="U4" s="15" t="s">
        <v>46</v>
      </c>
    </row>
    <row r="5" ht="33.75" customHeight="1">
      <c r="A5" s="11"/>
      <c r="B5" s="12" t="s">
        <v>48</v>
      </c>
      <c r="C5" s="13"/>
      <c r="F5" s="14"/>
      <c r="G5" s="11"/>
      <c r="H5" s="11"/>
      <c r="I5" s="11"/>
      <c r="J5" s="8" t="s">
        <v>51</v>
      </c>
      <c r="U5" s="8" t="s">
        <v>54</v>
      </c>
    </row>
    <row r="6" ht="33.75" customHeight="1">
      <c r="A6" s="11"/>
      <c r="B6" s="17" t="s">
        <v>57</v>
      </c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8" t="s">
        <v>62</v>
      </c>
    </row>
    <row r="7" ht="27.75" customHeight="1">
      <c r="F7" s="5"/>
      <c r="H7" s="20" t="s">
        <v>64</v>
      </c>
    </row>
    <row r="8" ht="16.5" customHeight="1">
      <c r="A8" s="11"/>
      <c r="B8" s="21" t="s">
        <v>67</v>
      </c>
      <c r="C8" s="23" t="s">
        <v>8</v>
      </c>
      <c r="D8" s="23" t="s">
        <v>69</v>
      </c>
      <c r="E8" s="23" t="s">
        <v>70</v>
      </c>
      <c r="F8" s="24" t="s">
        <v>71</v>
      </c>
      <c r="G8" s="25" t="s">
        <v>72</v>
      </c>
      <c r="H8" s="26" t="s">
        <v>73</v>
      </c>
      <c r="I8" s="11"/>
      <c r="J8" s="4" t="s">
        <v>7</v>
      </c>
      <c r="K8" s="4" t="s">
        <v>8</v>
      </c>
      <c r="L8" s="4" t="s">
        <v>9</v>
      </c>
      <c r="M8" s="4" t="s">
        <v>10</v>
      </c>
      <c r="N8" s="4" t="s">
        <v>12</v>
      </c>
      <c r="O8" s="4" t="s">
        <v>74</v>
      </c>
      <c r="P8" s="4" t="s">
        <v>75</v>
      </c>
      <c r="Q8" s="4" t="s">
        <v>20</v>
      </c>
      <c r="R8" s="4" t="s">
        <v>21</v>
      </c>
      <c r="S8" s="4" t="s">
        <v>22</v>
      </c>
      <c r="T8" s="4" t="s">
        <v>23</v>
      </c>
      <c r="U8" s="4" t="s">
        <v>7</v>
      </c>
      <c r="V8" s="4" t="s">
        <v>8</v>
      </c>
      <c r="W8" s="4" t="s">
        <v>76</v>
      </c>
      <c r="X8" s="4" t="s">
        <v>77</v>
      </c>
      <c r="Y8" s="4" t="s">
        <v>78</v>
      </c>
      <c r="Z8" s="4" t="s">
        <v>79</v>
      </c>
      <c r="AA8" s="4" t="s">
        <v>80</v>
      </c>
      <c r="AB8" s="4" t="s">
        <v>81</v>
      </c>
      <c r="AC8" s="4" t="s">
        <v>82</v>
      </c>
      <c r="AD8" s="4" t="s">
        <v>83</v>
      </c>
      <c r="AE8" s="4" t="s">
        <v>84</v>
      </c>
      <c r="AF8" s="4" t="s">
        <v>85</v>
      </c>
      <c r="AG8" s="4" t="s">
        <v>86</v>
      </c>
      <c r="AH8" s="4" t="s">
        <v>87</v>
      </c>
      <c r="AI8" s="4" t="s">
        <v>88</v>
      </c>
      <c r="AJ8" s="4" t="s">
        <v>37</v>
      </c>
      <c r="AK8" s="4" t="s">
        <v>89</v>
      </c>
      <c r="AL8" s="4" t="s">
        <v>90</v>
      </c>
      <c r="AM8" s="4" t="s">
        <v>91</v>
      </c>
      <c r="AN8" s="4" t="s">
        <v>18</v>
      </c>
    </row>
    <row r="9" ht="61.5" customHeight="1">
      <c r="B9" s="28" t="s">
        <v>26</v>
      </c>
      <c r="C9" s="30" t="s">
        <v>92</v>
      </c>
      <c r="D9" s="32" t="str">
        <f>IF('질문별 결과'!$P$6="","",'질문별 결과'!$P$6)</f>
        <v/>
      </c>
      <c r="E9" s="33" t="s">
        <v>93</v>
      </c>
      <c r="F9" s="34" t="s">
        <v>94</v>
      </c>
      <c r="G9" s="35" t="s">
        <v>95</v>
      </c>
      <c r="H9" s="36" t="s">
        <v>96</v>
      </c>
      <c r="J9" s="19" t="s">
        <v>27</v>
      </c>
      <c r="K9" s="6" t="s">
        <v>28</v>
      </c>
      <c r="L9" s="37" t="str">
        <f>IF('질문별 결과'!$D$6="","",'질문별 결과'!$D$6)</f>
        <v/>
      </c>
      <c r="M9" s="38">
        <f>'질문별 결과'!$E$6</f>
        <v>0</v>
      </c>
      <c r="N9" s="37">
        <f>'질문별 결과'!$G$6</f>
        <v>0</v>
      </c>
      <c r="O9" s="37" t="str">
        <f>'질문별 결과'!$J$6</f>
        <v>미충족</v>
      </c>
      <c r="P9" s="37">
        <f>MIN('질문별 결과'!$I$6,'질문별 결과'!$K$6,'질문별 결과'!$M$6)</f>
        <v>0</v>
      </c>
      <c r="Q9" s="37" t="str">
        <f>IF('질문별 결과'!$N$6="","",'질문별 결과'!$N$6)</f>
        <v/>
      </c>
      <c r="R9" s="40" t="str">
        <f>IF('질문별 결과'!$O$6="","",'질문별 결과'!$O$6)</f>
        <v/>
      </c>
      <c r="S9" s="37" t="str">
        <f>IF('질문별 결과'!$P$6="","",'질문별 결과'!$P$6)</f>
        <v/>
      </c>
      <c r="T9" s="41" t="str">
        <f>'질문별 결과'!$Q$6</f>
        <v>자료보완</v>
      </c>
      <c r="U9" s="42" t="s">
        <v>27</v>
      </c>
      <c r="V9" s="42" t="s">
        <v>28</v>
      </c>
      <c r="W9" s="19" t="s">
        <v>97</v>
      </c>
      <c r="X9" s="6" t="s">
        <v>68</v>
      </c>
      <c r="Y9" s="43">
        <v>0.2</v>
      </c>
      <c r="Z9" s="44">
        <v>0.2</v>
      </c>
      <c r="AA9" s="6" t="s">
        <v>98</v>
      </c>
      <c r="AB9" s="6" t="s">
        <v>99</v>
      </c>
      <c r="AC9" s="45" t="s">
        <v>100</v>
      </c>
      <c r="AD9" s="46" t="s">
        <v>101</v>
      </c>
      <c r="AE9" s="46" t="s">
        <v>101</v>
      </c>
      <c r="AF9" s="46" t="s">
        <v>101</v>
      </c>
      <c r="AG9" s="46" t="s">
        <v>101</v>
      </c>
      <c r="AH9" s="46" t="s">
        <v>101</v>
      </c>
      <c r="AI9" s="46" t="s">
        <v>101</v>
      </c>
      <c r="AJ9" s="27" t="str">
        <f t="shared" ref="AJ9:AJ63" si="1">IF(AD9&lt;&gt;"☑","ND",IF(COUNTIFS(AE9:AI9,"☑")=0,"0.00",IF(COUNTIFS(AE9:AI9,"☑")&lt;=2,"0.33",IF(COUNTIFS(AE9:AI9,"☑")&lt;=4,"0.67","1.00"))))</f>
        <v>ND</v>
      </c>
      <c r="AK9" s="47" t="str">
        <f t="shared" ref="AK9:AK63" si="2">IF(OR(AJ9="",AJ9="ND"),"",VALUE(AJ9)*Z9)</f>
        <v/>
      </c>
      <c r="AL9" s="27" t="str">
        <f t="shared" ref="AL9:AL63" si="3">IF(AD9&lt;&gt;"☑","증빙 미입증",IF(AJ9="1.00","충족",IF(AJ9="0.67","대체로 충족",IF(AJ9="0.33","일부 충족","미충족"))))</f>
        <v>증빙 미입증</v>
      </c>
      <c r="AM9" s="48"/>
      <c r="AN9" s="48" t="s">
        <v>109</v>
      </c>
    </row>
    <row r="10" ht="61.5" customHeight="1">
      <c r="B10" s="49"/>
      <c r="C10" s="50"/>
      <c r="D10" s="50"/>
      <c r="E10" s="50"/>
      <c r="F10" s="34" t="s">
        <v>110</v>
      </c>
      <c r="G10" s="35" t="s">
        <v>111</v>
      </c>
      <c r="H10" s="51" t="s">
        <v>112</v>
      </c>
      <c r="J10" s="19" t="s">
        <v>105</v>
      </c>
      <c r="K10" s="6" t="s">
        <v>106</v>
      </c>
      <c r="L10" s="37" t="str">
        <f>IF('질문별 결과'!$D$7="","",'질문별 결과'!$D$7)</f>
        <v/>
      </c>
      <c r="M10" s="38">
        <f>'질문별 결과'!$E$7</f>
        <v>0</v>
      </c>
      <c r="N10" s="37">
        <f>'질문별 결과'!$G$7</f>
        <v>0</v>
      </c>
      <c r="O10" s="37" t="str">
        <f>'질문별 결과'!$J$7</f>
        <v>미충족</v>
      </c>
      <c r="P10" s="37">
        <f>MIN('질문별 결과'!$I$7,'질문별 결과'!$K$7,'질문별 결과'!$M$7)</f>
        <v>0</v>
      </c>
      <c r="Q10" s="37" t="str">
        <f>IF('질문별 결과'!$N$7="","",'질문별 결과'!$N$7)</f>
        <v/>
      </c>
      <c r="R10" s="40" t="str">
        <f>IF('질문별 결과'!$O$7="","",'질문별 결과'!$O$7)</f>
        <v/>
      </c>
      <c r="S10" s="37" t="str">
        <f>IF('질문별 결과'!$P$7="","",'질문별 결과'!$P$7)</f>
        <v/>
      </c>
      <c r="T10" s="41" t="str">
        <f>'질문별 결과'!$Q$7</f>
        <v>자료보완</v>
      </c>
      <c r="U10" s="52"/>
      <c r="V10" s="52"/>
      <c r="W10" s="19" t="s">
        <v>117</v>
      </c>
      <c r="X10" s="6" t="s">
        <v>108</v>
      </c>
      <c r="Y10" s="43">
        <v>0.2</v>
      </c>
      <c r="Z10" s="44">
        <v>0.2</v>
      </c>
      <c r="AA10" s="6" t="s">
        <v>118</v>
      </c>
      <c r="AB10" s="6" t="s">
        <v>99</v>
      </c>
      <c r="AC10" s="52"/>
      <c r="AD10" s="46" t="s">
        <v>101</v>
      </c>
      <c r="AE10" s="46" t="s">
        <v>101</v>
      </c>
      <c r="AF10" s="46" t="s">
        <v>101</v>
      </c>
      <c r="AG10" s="46" t="s">
        <v>101</v>
      </c>
      <c r="AH10" s="46" t="s">
        <v>101</v>
      </c>
      <c r="AI10" s="46" t="s">
        <v>101</v>
      </c>
      <c r="AJ10" s="27" t="str">
        <f t="shared" si="1"/>
        <v>ND</v>
      </c>
      <c r="AK10" s="47" t="str">
        <f t="shared" si="2"/>
        <v/>
      </c>
      <c r="AL10" s="27" t="str">
        <f t="shared" si="3"/>
        <v>증빙 미입증</v>
      </c>
      <c r="AM10" s="48"/>
      <c r="AN10" s="48" t="s">
        <v>109</v>
      </c>
    </row>
    <row r="11" ht="61.5" customHeight="1">
      <c r="B11" s="49"/>
      <c r="C11" s="50"/>
      <c r="D11" s="50"/>
      <c r="E11" s="50"/>
      <c r="F11" s="34" t="s">
        <v>119</v>
      </c>
      <c r="G11" s="35" t="s">
        <v>120</v>
      </c>
      <c r="H11" s="53" t="s">
        <v>121</v>
      </c>
      <c r="J11" s="19" t="s">
        <v>122</v>
      </c>
      <c r="K11" s="6" t="s">
        <v>123</v>
      </c>
      <c r="L11" s="37" t="str">
        <f>IF('질문별 결과'!$D$8="","",'질문별 결과'!$D$8)</f>
        <v/>
      </c>
      <c r="M11" s="38">
        <f>'질문별 결과'!$E$8</f>
        <v>0</v>
      </c>
      <c r="N11" s="37">
        <f>'질문별 결과'!$G$8</f>
        <v>0</v>
      </c>
      <c r="O11" s="37" t="str">
        <f>'질문별 결과'!$J$8</f>
        <v>미충족</v>
      </c>
      <c r="P11" s="37">
        <f>MIN('질문별 결과'!$I$8,'질문별 결과'!$K$8,'질문별 결과'!$M$8)</f>
        <v>0</v>
      </c>
      <c r="Q11" s="37" t="str">
        <f>IF('질문별 결과'!$N$8="","",'질문별 결과'!$N$8)</f>
        <v/>
      </c>
      <c r="R11" s="40" t="str">
        <f>IF('질문별 결과'!$O$8="","",'질문별 결과'!$O$8)</f>
        <v/>
      </c>
      <c r="S11" s="37" t="str">
        <f>IF('질문별 결과'!$P$8="","",'질문별 결과'!$P$8)</f>
        <v/>
      </c>
      <c r="T11" s="41" t="str">
        <f>'질문별 결과'!$Q$8</f>
        <v>자료보완</v>
      </c>
      <c r="U11" s="52"/>
      <c r="V11" s="52"/>
      <c r="W11" s="19" t="s">
        <v>129</v>
      </c>
      <c r="X11" s="6" t="s">
        <v>116</v>
      </c>
      <c r="Y11" s="43">
        <v>0.2</v>
      </c>
      <c r="Z11" s="44">
        <v>0.2</v>
      </c>
      <c r="AA11" s="6" t="s">
        <v>130</v>
      </c>
      <c r="AB11" s="6" t="s">
        <v>99</v>
      </c>
      <c r="AC11" s="52"/>
      <c r="AD11" s="46" t="s">
        <v>101</v>
      </c>
      <c r="AE11" s="46" t="s">
        <v>101</v>
      </c>
      <c r="AF11" s="46" t="s">
        <v>101</v>
      </c>
      <c r="AG11" s="46" t="s">
        <v>101</v>
      </c>
      <c r="AH11" s="46" t="s">
        <v>101</v>
      </c>
      <c r="AI11" s="46" t="s">
        <v>101</v>
      </c>
      <c r="AJ11" s="27" t="str">
        <f t="shared" si="1"/>
        <v>ND</v>
      </c>
      <c r="AK11" s="47" t="str">
        <f t="shared" si="2"/>
        <v/>
      </c>
      <c r="AL11" s="27" t="str">
        <f t="shared" si="3"/>
        <v>증빙 미입증</v>
      </c>
      <c r="AM11" s="48"/>
      <c r="AN11" s="48" t="s">
        <v>109</v>
      </c>
    </row>
    <row r="12" ht="61.5" customHeight="1">
      <c r="B12" s="49"/>
      <c r="C12" s="54"/>
      <c r="D12" s="54"/>
      <c r="E12" s="54"/>
      <c r="F12" s="34" t="s">
        <v>131</v>
      </c>
      <c r="G12" s="35" t="s">
        <v>132</v>
      </c>
      <c r="H12" s="55" t="s">
        <v>133</v>
      </c>
      <c r="J12" s="19" t="s">
        <v>134</v>
      </c>
      <c r="K12" s="6" t="s">
        <v>135</v>
      </c>
      <c r="L12" s="37" t="str">
        <f>IF('질문별 결과'!$D$9="","",'질문별 결과'!$D$9)</f>
        <v/>
      </c>
      <c r="M12" s="38">
        <f>'질문별 결과'!$E$9</f>
        <v>0</v>
      </c>
      <c r="N12" s="37">
        <f>'질문별 결과'!$G$9</f>
        <v>0</v>
      </c>
      <c r="O12" s="37" t="str">
        <f>'질문별 결과'!$J$9</f>
        <v>미충족</v>
      </c>
      <c r="P12" s="37">
        <f>MIN('질문별 결과'!$I$9,'질문별 결과'!$K$9,'질문별 결과'!$M$9)</f>
        <v>0</v>
      </c>
      <c r="Q12" s="37" t="str">
        <f>IF('질문별 결과'!$N$9="","",'질문별 결과'!$N$9)</f>
        <v/>
      </c>
      <c r="R12" s="40" t="str">
        <f>IF('질문별 결과'!$O$9="","",'질문별 결과'!$O$9)</f>
        <v/>
      </c>
      <c r="S12" s="37" t="str">
        <f>IF('질문별 결과'!$P$9="","",'질문별 결과'!$P$9)</f>
        <v/>
      </c>
      <c r="T12" s="41" t="str">
        <f>'질문별 결과'!$Q$9</f>
        <v>자료보완</v>
      </c>
      <c r="U12" s="52"/>
      <c r="V12" s="52"/>
      <c r="W12" s="19" t="s">
        <v>140</v>
      </c>
      <c r="X12" s="6" t="s">
        <v>126</v>
      </c>
      <c r="Y12" s="43">
        <v>0.2</v>
      </c>
      <c r="Z12" s="44">
        <v>0.2</v>
      </c>
      <c r="AA12" s="6" t="s">
        <v>141</v>
      </c>
      <c r="AB12" s="6" t="s">
        <v>99</v>
      </c>
      <c r="AC12" s="52"/>
      <c r="AD12" s="46" t="s">
        <v>101</v>
      </c>
      <c r="AE12" s="46" t="s">
        <v>101</v>
      </c>
      <c r="AF12" s="46" t="s">
        <v>101</v>
      </c>
      <c r="AG12" s="46" t="s">
        <v>101</v>
      </c>
      <c r="AH12" s="46" t="s">
        <v>101</v>
      </c>
      <c r="AI12" s="46" t="s">
        <v>101</v>
      </c>
      <c r="AJ12" s="27" t="str">
        <f t="shared" si="1"/>
        <v>ND</v>
      </c>
      <c r="AK12" s="47" t="str">
        <f t="shared" si="2"/>
        <v/>
      </c>
      <c r="AL12" s="27" t="str">
        <f t="shared" si="3"/>
        <v>증빙 미입증</v>
      </c>
      <c r="AM12" s="48"/>
      <c r="AN12" s="48" t="s">
        <v>109</v>
      </c>
    </row>
    <row r="13" ht="61.5" customHeight="1">
      <c r="B13" s="49"/>
      <c r="C13" s="30" t="s">
        <v>142</v>
      </c>
      <c r="D13" s="32" t="str">
        <f>IF('질문별 결과'!$P$7="","",'질문별 결과'!$P$7)</f>
        <v/>
      </c>
      <c r="E13" s="33" t="s">
        <v>93</v>
      </c>
      <c r="F13" s="34" t="s">
        <v>94</v>
      </c>
      <c r="G13" s="35" t="s">
        <v>143</v>
      </c>
      <c r="H13" s="36" t="s">
        <v>145</v>
      </c>
      <c r="J13" s="19" t="s">
        <v>146</v>
      </c>
      <c r="K13" s="6" t="s">
        <v>147</v>
      </c>
      <c r="L13" s="37" t="str">
        <f>IF('질문별 결과'!$D$10="","",'질문별 결과'!$D$10)</f>
        <v/>
      </c>
      <c r="M13" s="38">
        <f>'질문별 결과'!$E$10</f>
        <v>0</v>
      </c>
      <c r="N13" s="37">
        <f>'질문별 결과'!$G$10</f>
        <v>0</v>
      </c>
      <c r="O13" s="37" t="str">
        <f>'질문별 결과'!$J$10</f>
        <v>미충족</v>
      </c>
      <c r="P13" s="37">
        <f>MIN('질문별 결과'!$I$10,'질문별 결과'!$K$10,'질문별 결과'!$M$10)</f>
        <v>0</v>
      </c>
      <c r="Q13" s="37" t="str">
        <f>IF('질문별 결과'!$N$10="","",'질문별 결과'!$N$10)</f>
        <v/>
      </c>
      <c r="R13" s="40" t="str">
        <f>IF('질문별 결과'!$O$10="","",'질문별 결과'!$O$10)</f>
        <v/>
      </c>
      <c r="S13" s="37" t="str">
        <f>IF('질문별 결과'!$P$10="","",'질문별 결과'!$P$10)</f>
        <v/>
      </c>
      <c r="T13" s="41" t="str">
        <f>'질문별 결과'!$Q$10</f>
        <v>자료보완</v>
      </c>
      <c r="U13" s="56"/>
      <c r="V13" s="56"/>
      <c r="W13" s="19" t="s">
        <v>152</v>
      </c>
      <c r="X13" s="6" t="s">
        <v>138</v>
      </c>
      <c r="Y13" s="43">
        <v>0.2</v>
      </c>
      <c r="Z13" s="44">
        <v>0.2</v>
      </c>
      <c r="AA13" s="6" t="s">
        <v>153</v>
      </c>
      <c r="AB13" s="6" t="s">
        <v>99</v>
      </c>
      <c r="AC13" s="56"/>
      <c r="AD13" s="46" t="s">
        <v>101</v>
      </c>
      <c r="AE13" s="46" t="s">
        <v>101</v>
      </c>
      <c r="AF13" s="46" t="s">
        <v>101</v>
      </c>
      <c r="AG13" s="46" t="s">
        <v>101</v>
      </c>
      <c r="AH13" s="46" t="s">
        <v>101</v>
      </c>
      <c r="AI13" s="46" t="s">
        <v>101</v>
      </c>
      <c r="AJ13" s="27" t="str">
        <f t="shared" si="1"/>
        <v>ND</v>
      </c>
      <c r="AK13" s="47" t="str">
        <f t="shared" si="2"/>
        <v/>
      </c>
      <c r="AL13" s="27" t="str">
        <f t="shared" si="3"/>
        <v>증빙 미입증</v>
      </c>
      <c r="AM13" s="48"/>
      <c r="AN13" s="48" t="s">
        <v>109</v>
      </c>
    </row>
    <row r="14" ht="61.5" customHeight="1">
      <c r="B14" s="49"/>
      <c r="C14" s="50"/>
      <c r="D14" s="50"/>
      <c r="E14" s="50"/>
      <c r="F14" s="34" t="s">
        <v>110</v>
      </c>
      <c r="G14" s="35" t="s">
        <v>156</v>
      </c>
      <c r="H14" s="51" t="s">
        <v>157</v>
      </c>
      <c r="J14" s="19" t="s">
        <v>158</v>
      </c>
      <c r="K14" s="6" t="s">
        <v>159</v>
      </c>
      <c r="L14" s="37" t="str">
        <f>IF('질문별 결과'!$D$11="","",'질문별 결과'!$D$11)</f>
        <v/>
      </c>
      <c r="M14" s="38">
        <f>'질문별 결과'!$E$11</f>
        <v>0</v>
      </c>
      <c r="N14" s="37">
        <f>'질문별 결과'!$G$11</f>
        <v>0</v>
      </c>
      <c r="O14" s="37" t="str">
        <f>'질문별 결과'!$J$11</f>
        <v>미충족</v>
      </c>
      <c r="P14" s="37">
        <f>MIN('질문별 결과'!$I$11,'질문별 결과'!$K$11,'질문별 결과'!$M$11)</f>
        <v>0</v>
      </c>
      <c r="Q14" s="37" t="str">
        <f>IF('질문별 결과'!$N$11="","",'질문별 결과'!$N$11)</f>
        <v/>
      </c>
      <c r="R14" s="40" t="str">
        <f>IF('질문별 결과'!$O$11="","",'질문별 결과'!$O$11)</f>
        <v/>
      </c>
      <c r="S14" s="37" t="str">
        <f>IF('질문별 결과'!$P$11="","",'질문별 결과'!$P$11)</f>
        <v/>
      </c>
      <c r="T14" s="41" t="str">
        <f>'질문별 결과'!$Q$11</f>
        <v>자료보완</v>
      </c>
      <c r="U14" s="57" t="s">
        <v>105</v>
      </c>
      <c r="V14" s="57" t="s">
        <v>106</v>
      </c>
      <c r="W14" s="19" t="s">
        <v>97</v>
      </c>
      <c r="X14" s="6" t="s">
        <v>149</v>
      </c>
      <c r="Y14" s="43">
        <v>0.2</v>
      </c>
      <c r="Z14" s="44">
        <v>0.2</v>
      </c>
      <c r="AA14" s="6" t="s">
        <v>161</v>
      </c>
      <c r="AB14" s="6" t="s">
        <v>99</v>
      </c>
      <c r="AC14" s="58" t="s">
        <v>162</v>
      </c>
      <c r="AD14" s="46" t="s">
        <v>101</v>
      </c>
      <c r="AE14" s="46" t="s">
        <v>101</v>
      </c>
      <c r="AF14" s="46" t="s">
        <v>101</v>
      </c>
      <c r="AG14" s="46" t="s">
        <v>101</v>
      </c>
      <c r="AH14" s="46" t="s">
        <v>101</v>
      </c>
      <c r="AI14" s="46" t="s">
        <v>101</v>
      </c>
      <c r="AJ14" s="27" t="str">
        <f t="shared" si="1"/>
        <v>ND</v>
      </c>
      <c r="AK14" s="47" t="str">
        <f t="shared" si="2"/>
        <v/>
      </c>
      <c r="AL14" s="27" t="str">
        <f t="shared" si="3"/>
        <v>증빙 미입증</v>
      </c>
      <c r="AM14" s="48"/>
      <c r="AN14" s="48" t="s">
        <v>109</v>
      </c>
    </row>
    <row r="15" ht="61.5" customHeight="1">
      <c r="B15" s="49"/>
      <c r="C15" s="50"/>
      <c r="D15" s="50"/>
      <c r="E15" s="50"/>
      <c r="F15" s="34" t="s">
        <v>119</v>
      </c>
      <c r="G15" s="35" t="s">
        <v>163</v>
      </c>
      <c r="H15" s="53" t="s">
        <v>164</v>
      </c>
      <c r="J15" s="19" t="s">
        <v>165</v>
      </c>
      <c r="K15" s="6" t="s">
        <v>166</v>
      </c>
      <c r="L15" s="37" t="str">
        <f>IF('질문별 결과'!$D$12="","",'질문별 결과'!$D$12)</f>
        <v/>
      </c>
      <c r="M15" s="38">
        <f>'질문별 결과'!$E$12</f>
        <v>0</v>
      </c>
      <c r="N15" s="37">
        <f>'질문별 결과'!$G$12</f>
        <v>0</v>
      </c>
      <c r="O15" s="37" t="str">
        <f>'질문별 결과'!$J$12</f>
        <v>미충족</v>
      </c>
      <c r="P15" s="37">
        <f>MIN('질문별 결과'!$I$12,'질문별 결과'!$K$12,'질문별 결과'!$M$12)</f>
        <v>0</v>
      </c>
      <c r="Q15" s="37" t="str">
        <f>IF('질문별 결과'!$N$12="","",'질문별 결과'!$N$12)</f>
        <v/>
      </c>
      <c r="R15" s="40" t="str">
        <f>IF('질문별 결과'!$O$12="","",'질문별 결과'!$O$12)</f>
        <v/>
      </c>
      <c r="S15" s="37" t="str">
        <f>IF('질문별 결과'!$P$12="","",'질문별 결과'!$P$12)</f>
        <v/>
      </c>
      <c r="T15" s="41" t="str">
        <f>'질문별 결과'!$Q$12</f>
        <v>자료보완</v>
      </c>
      <c r="U15" s="52"/>
      <c r="V15" s="52"/>
      <c r="W15" s="19" t="s">
        <v>117</v>
      </c>
      <c r="X15" s="6" t="s">
        <v>155</v>
      </c>
      <c r="Y15" s="43">
        <v>0.2</v>
      </c>
      <c r="Z15" s="44">
        <v>0.2</v>
      </c>
      <c r="AA15" s="6" t="s">
        <v>172</v>
      </c>
      <c r="AB15" s="6" t="s">
        <v>99</v>
      </c>
      <c r="AC15" s="52"/>
      <c r="AD15" s="46" t="s">
        <v>101</v>
      </c>
      <c r="AE15" s="46" t="s">
        <v>101</v>
      </c>
      <c r="AF15" s="46" t="s">
        <v>101</v>
      </c>
      <c r="AG15" s="46" t="s">
        <v>101</v>
      </c>
      <c r="AH15" s="46" t="s">
        <v>101</v>
      </c>
      <c r="AI15" s="46" t="s">
        <v>101</v>
      </c>
      <c r="AJ15" s="27" t="str">
        <f t="shared" si="1"/>
        <v>ND</v>
      </c>
      <c r="AK15" s="47" t="str">
        <f t="shared" si="2"/>
        <v/>
      </c>
      <c r="AL15" s="27" t="str">
        <f t="shared" si="3"/>
        <v>증빙 미입증</v>
      </c>
      <c r="AM15" s="48"/>
      <c r="AN15" s="48" t="s">
        <v>109</v>
      </c>
    </row>
    <row r="16" ht="61.5" customHeight="1">
      <c r="B16" s="59"/>
      <c r="C16" s="54"/>
      <c r="D16" s="54"/>
      <c r="E16" s="54"/>
      <c r="F16" s="34" t="s">
        <v>131</v>
      </c>
      <c r="G16" s="35" t="s">
        <v>173</v>
      </c>
      <c r="H16" s="55" t="s">
        <v>174</v>
      </c>
      <c r="J16" s="19" t="s">
        <v>175</v>
      </c>
      <c r="K16" s="6" t="s">
        <v>176</v>
      </c>
      <c r="L16" s="37" t="str">
        <f>IF('질문별 결과'!$D$13="","",'질문별 결과'!$D$13)</f>
        <v/>
      </c>
      <c r="M16" s="38">
        <f>'질문별 결과'!$E$13</f>
        <v>0</v>
      </c>
      <c r="N16" s="37">
        <f>'질문별 결과'!$G$13</f>
        <v>0</v>
      </c>
      <c r="O16" s="37" t="str">
        <f>'질문별 결과'!$J$13</f>
        <v>미충족</v>
      </c>
      <c r="P16" s="37">
        <f>MIN('질문별 결과'!$I$13,'질문별 결과'!$K$13,'질문별 결과'!$M$13)</f>
        <v>0</v>
      </c>
      <c r="Q16" s="37" t="str">
        <f>IF('질문별 결과'!$N$13="","",'질문별 결과'!$N$13)</f>
        <v/>
      </c>
      <c r="R16" s="40" t="str">
        <f>IF('질문별 결과'!$O$13="","",'질문별 결과'!$O$13)</f>
        <v/>
      </c>
      <c r="S16" s="37" t="str">
        <f>IF('질문별 결과'!$P$13="","",'질문별 결과'!$P$13)</f>
        <v/>
      </c>
      <c r="T16" s="41" t="str">
        <f>'질문별 결과'!$Q$13</f>
        <v>자료보완</v>
      </c>
      <c r="U16" s="52"/>
      <c r="V16" s="52"/>
      <c r="W16" s="19" t="s">
        <v>129</v>
      </c>
      <c r="X16" s="6" t="s">
        <v>169</v>
      </c>
      <c r="Y16" s="43">
        <v>0.2</v>
      </c>
      <c r="Z16" s="44">
        <v>0.2</v>
      </c>
      <c r="AA16" s="6" t="s">
        <v>181</v>
      </c>
      <c r="AB16" s="6" t="s">
        <v>99</v>
      </c>
      <c r="AC16" s="52"/>
      <c r="AD16" s="46" t="s">
        <v>101</v>
      </c>
      <c r="AE16" s="46" t="s">
        <v>101</v>
      </c>
      <c r="AF16" s="46" t="s">
        <v>101</v>
      </c>
      <c r="AG16" s="46" t="s">
        <v>101</v>
      </c>
      <c r="AH16" s="46" t="s">
        <v>101</v>
      </c>
      <c r="AI16" s="46" t="s">
        <v>101</v>
      </c>
      <c r="AJ16" s="27" t="str">
        <f t="shared" si="1"/>
        <v>ND</v>
      </c>
      <c r="AK16" s="47" t="str">
        <f t="shared" si="2"/>
        <v/>
      </c>
      <c r="AL16" s="27" t="str">
        <f t="shared" si="3"/>
        <v>증빙 미입증</v>
      </c>
      <c r="AM16" s="48"/>
      <c r="AN16" s="48" t="s">
        <v>109</v>
      </c>
    </row>
    <row r="17" ht="61.5" customHeight="1">
      <c r="B17" s="60" t="s">
        <v>182</v>
      </c>
      <c r="C17" s="61"/>
      <c r="D17" s="62" t="str">
        <f>IFERROR(AVERAGE(D9:D16),"미입력")</f>
        <v>미입력</v>
      </c>
      <c r="E17" s="63" t="s">
        <v>93</v>
      </c>
      <c r="F17" s="64"/>
      <c r="G17" s="65"/>
      <c r="H17" s="66"/>
      <c r="J17" s="19" t="s">
        <v>184</v>
      </c>
      <c r="K17" s="6" t="s">
        <v>185</v>
      </c>
      <c r="L17" s="37" t="str">
        <f>IF('질문별 결과'!$D$14="","",'질문별 결과'!$D$14)</f>
        <v/>
      </c>
      <c r="M17" s="38">
        <f>'질문별 결과'!$E$14</f>
        <v>0</v>
      </c>
      <c r="N17" s="37">
        <f>'질문별 결과'!$G$14</f>
        <v>0</v>
      </c>
      <c r="O17" s="37" t="str">
        <f>'질문별 결과'!$J$14</f>
        <v>미충족</v>
      </c>
      <c r="P17" s="37">
        <f>MIN('질문별 결과'!$I$14,'질문별 결과'!$K$14,'질문별 결과'!$M$14)</f>
        <v>0</v>
      </c>
      <c r="Q17" s="37" t="str">
        <f>IF('질문별 결과'!$N$14="","",'질문별 결과'!$N$14)</f>
        <v/>
      </c>
      <c r="R17" s="40" t="str">
        <f>IF('질문별 결과'!$O$14="","",'질문별 결과'!$O$14)</f>
        <v/>
      </c>
      <c r="S17" s="37" t="str">
        <f>IF('질문별 결과'!$P$14="","",'질문별 결과'!$P$14)</f>
        <v/>
      </c>
      <c r="T17" s="41" t="str">
        <f>'질문별 결과'!$Q$14</f>
        <v>자료보완</v>
      </c>
      <c r="U17" s="52"/>
      <c r="V17" s="52"/>
      <c r="W17" s="19" t="s">
        <v>140</v>
      </c>
      <c r="X17" s="6" t="s">
        <v>180</v>
      </c>
      <c r="Y17" s="43">
        <v>0.2</v>
      </c>
      <c r="Z17" s="44">
        <v>0.2</v>
      </c>
      <c r="AA17" s="6" t="s">
        <v>189</v>
      </c>
      <c r="AB17" s="6" t="s">
        <v>99</v>
      </c>
      <c r="AC17" s="52"/>
      <c r="AD17" s="46" t="s">
        <v>101</v>
      </c>
      <c r="AE17" s="46" t="s">
        <v>101</v>
      </c>
      <c r="AF17" s="46" t="s">
        <v>101</v>
      </c>
      <c r="AG17" s="46" t="s">
        <v>101</v>
      </c>
      <c r="AH17" s="46" t="s">
        <v>101</v>
      </c>
      <c r="AI17" s="46" t="s">
        <v>101</v>
      </c>
      <c r="AJ17" s="27" t="str">
        <f t="shared" si="1"/>
        <v>ND</v>
      </c>
      <c r="AK17" s="47" t="str">
        <f t="shared" si="2"/>
        <v/>
      </c>
      <c r="AL17" s="27" t="str">
        <f t="shared" si="3"/>
        <v>증빙 미입증</v>
      </c>
      <c r="AM17" s="48"/>
      <c r="AN17" s="48" t="s">
        <v>109</v>
      </c>
    </row>
    <row r="18" ht="61.5" customHeight="1">
      <c r="B18" s="28" t="s">
        <v>128</v>
      </c>
      <c r="C18" s="30" t="s">
        <v>190</v>
      </c>
      <c r="D18" s="32" t="str">
        <f>IF('질문별 결과'!$P$8="","",'질문별 결과'!$P$8)</f>
        <v/>
      </c>
      <c r="E18" s="33" t="s">
        <v>93</v>
      </c>
      <c r="F18" s="34" t="s">
        <v>94</v>
      </c>
      <c r="G18" s="35" t="s">
        <v>195</v>
      </c>
      <c r="H18" s="36" t="s">
        <v>196</v>
      </c>
      <c r="J18" s="19" t="s">
        <v>197</v>
      </c>
      <c r="K18" s="6" t="s">
        <v>198</v>
      </c>
      <c r="L18" s="37" t="str">
        <f>IF('질문별 결과'!$D$15="","",'질문별 결과'!$D$15)</f>
        <v/>
      </c>
      <c r="M18" s="38">
        <f>'질문별 결과'!$E$15</f>
        <v>0</v>
      </c>
      <c r="N18" s="37">
        <f>'질문별 결과'!$G$15</f>
        <v>0</v>
      </c>
      <c r="O18" s="37" t="str">
        <f>'질문별 결과'!$J$15</f>
        <v>미충족</v>
      </c>
      <c r="P18" s="37">
        <f>MIN('질문별 결과'!$I$15,'질문별 결과'!$K$15,'질문별 결과'!$M$15)</f>
        <v>0</v>
      </c>
      <c r="Q18" s="37" t="str">
        <f>IF('질문별 결과'!$N$15="","",'질문별 결과'!$N$15)</f>
        <v/>
      </c>
      <c r="R18" s="40" t="str">
        <f>IF('질문별 결과'!$O$15="","",'질문별 결과'!$O$15)</f>
        <v/>
      </c>
      <c r="S18" s="37" t="str">
        <f>IF('질문별 결과'!$P$15="","",'질문별 결과'!$P$15)</f>
        <v/>
      </c>
      <c r="T18" s="41" t="str">
        <f>'질문별 결과'!$Q$15</f>
        <v>자료보완</v>
      </c>
      <c r="U18" s="56"/>
      <c r="V18" s="56"/>
      <c r="W18" s="19" t="s">
        <v>152</v>
      </c>
      <c r="X18" s="6" t="s">
        <v>187</v>
      </c>
      <c r="Y18" s="43">
        <v>0.2</v>
      </c>
      <c r="Z18" s="44">
        <v>0.2</v>
      </c>
      <c r="AA18" s="6" t="s">
        <v>199</v>
      </c>
      <c r="AB18" s="6" t="s">
        <v>99</v>
      </c>
      <c r="AC18" s="56"/>
      <c r="AD18" s="46" t="s">
        <v>101</v>
      </c>
      <c r="AE18" s="46" t="s">
        <v>101</v>
      </c>
      <c r="AF18" s="46" t="s">
        <v>101</v>
      </c>
      <c r="AG18" s="46" t="s">
        <v>101</v>
      </c>
      <c r="AH18" s="46" t="s">
        <v>101</v>
      </c>
      <c r="AI18" s="46" t="s">
        <v>101</v>
      </c>
      <c r="AJ18" s="27" t="str">
        <f t="shared" si="1"/>
        <v>ND</v>
      </c>
      <c r="AK18" s="47" t="str">
        <f t="shared" si="2"/>
        <v/>
      </c>
      <c r="AL18" s="27" t="str">
        <f t="shared" si="3"/>
        <v>증빙 미입증</v>
      </c>
      <c r="AM18" s="48"/>
      <c r="AN18" s="48" t="s">
        <v>109</v>
      </c>
    </row>
    <row r="19" ht="61.5" customHeight="1">
      <c r="B19" s="49"/>
      <c r="C19" s="50"/>
      <c r="D19" s="50"/>
      <c r="E19" s="50"/>
      <c r="F19" s="34" t="s">
        <v>110</v>
      </c>
      <c r="G19" s="35" t="s">
        <v>200</v>
      </c>
      <c r="H19" s="51" t="s">
        <v>201</v>
      </c>
      <c r="J19" s="19" t="s">
        <v>202</v>
      </c>
      <c r="K19" s="6" t="s">
        <v>203</v>
      </c>
      <c r="L19" s="37" t="str">
        <f>IF('질문별 결과'!$D$16="","",'질문별 결과'!$D$16)</f>
        <v/>
      </c>
      <c r="M19" s="38">
        <f>'질문별 결과'!$E$16</f>
        <v>0</v>
      </c>
      <c r="N19" s="37">
        <f>'질문별 결과'!$G$16</f>
        <v>0</v>
      </c>
      <c r="O19" s="37" t="str">
        <f>'질문별 결과'!$J$16</f>
        <v>미충족</v>
      </c>
      <c r="P19" s="37">
        <f>MIN('질문별 결과'!$I$16,'질문별 결과'!$K$16,'질문별 결과'!$M$16)</f>
        <v>0</v>
      </c>
      <c r="Q19" s="37" t="str">
        <f>IF('질문별 결과'!$N$16="","",'질문별 결과'!$N$16)</f>
        <v/>
      </c>
      <c r="R19" s="40" t="str">
        <f>IF('질문별 결과'!$O$16="","",'질문별 결과'!$O$16)</f>
        <v/>
      </c>
      <c r="S19" s="37" t="str">
        <f>IF('질문별 결과'!$P$16="","",'질문별 결과'!$P$16)</f>
        <v/>
      </c>
      <c r="T19" s="41" t="str">
        <f>'질문별 결과'!$Q$16</f>
        <v>자료보완</v>
      </c>
      <c r="U19" s="42" t="s">
        <v>122</v>
      </c>
      <c r="V19" s="42" t="s">
        <v>123</v>
      </c>
      <c r="W19" s="19" t="s">
        <v>97</v>
      </c>
      <c r="X19" s="6" t="s">
        <v>194</v>
      </c>
      <c r="Y19" s="43">
        <v>0.2</v>
      </c>
      <c r="Z19" s="44">
        <v>0.2</v>
      </c>
      <c r="AA19" s="6" t="s">
        <v>208</v>
      </c>
      <c r="AB19" s="6" t="s">
        <v>99</v>
      </c>
      <c r="AC19" s="45" t="s">
        <v>209</v>
      </c>
      <c r="AD19" s="46" t="s">
        <v>101</v>
      </c>
      <c r="AE19" s="46" t="s">
        <v>101</v>
      </c>
      <c r="AF19" s="46" t="s">
        <v>101</v>
      </c>
      <c r="AG19" s="46" t="s">
        <v>101</v>
      </c>
      <c r="AH19" s="46" t="s">
        <v>101</v>
      </c>
      <c r="AI19" s="46" t="s">
        <v>101</v>
      </c>
      <c r="AJ19" s="27" t="str">
        <f t="shared" si="1"/>
        <v>ND</v>
      </c>
      <c r="AK19" s="47" t="str">
        <f t="shared" si="2"/>
        <v/>
      </c>
      <c r="AL19" s="27" t="str">
        <f t="shared" si="3"/>
        <v>증빙 미입증</v>
      </c>
      <c r="AM19" s="48"/>
      <c r="AN19" s="48" t="s">
        <v>109</v>
      </c>
    </row>
    <row r="20" ht="61.5" customHeight="1">
      <c r="B20" s="49"/>
      <c r="C20" s="50"/>
      <c r="D20" s="50"/>
      <c r="E20" s="50"/>
      <c r="F20" s="34" t="s">
        <v>119</v>
      </c>
      <c r="G20" s="35" t="s">
        <v>211</v>
      </c>
      <c r="H20" s="53" t="s">
        <v>212</v>
      </c>
      <c r="U20" s="52"/>
      <c r="V20" s="52"/>
      <c r="W20" s="19" t="s">
        <v>117</v>
      </c>
      <c r="X20" s="6" t="s">
        <v>207</v>
      </c>
      <c r="Y20" s="43">
        <v>0.2</v>
      </c>
      <c r="Z20" s="44">
        <v>0.2</v>
      </c>
      <c r="AA20" s="6" t="s">
        <v>213</v>
      </c>
      <c r="AB20" s="6" t="s">
        <v>99</v>
      </c>
      <c r="AC20" s="52"/>
      <c r="AD20" s="46" t="s">
        <v>101</v>
      </c>
      <c r="AE20" s="46" t="s">
        <v>101</v>
      </c>
      <c r="AF20" s="46" t="s">
        <v>101</v>
      </c>
      <c r="AG20" s="46" t="s">
        <v>101</v>
      </c>
      <c r="AH20" s="46" t="s">
        <v>101</v>
      </c>
      <c r="AI20" s="46" t="s">
        <v>101</v>
      </c>
      <c r="AJ20" s="27" t="str">
        <f t="shared" si="1"/>
        <v>ND</v>
      </c>
      <c r="AK20" s="47" t="str">
        <f t="shared" si="2"/>
        <v/>
      </c>
      <c r="AL20" s="27" t="str">
        <f t="shared" si="3"/>
        <v>증빙 미입증</v>
      </c>
      <c r="AM20" s="48"/>
      <c r="AN20" s="48" t="s">
        <v>109</v>
      </c>
    </row>
    <row r="21" ht="61.5" customHeight="1">
      <c r="B21" s="49"/>
      <c r="C21" s="54"/>
      <c r="D21" s="54"/>
      <c r="E21" s="54"/>
      <c r="F21" s="34" t="s">
        <v>131</v>
      </c>
      <c r="G21" s="35" t="s">
        <v>214</v>
      </c>
      <c r="H21" s="55" t="s">
        <v>215</v>
      </c>
      <c r="U21" s="52"/>
      <c r="V21" s="52"/>
      <c r="W21" s="19" t="s">
        <v>129</v>
      </c>
      <c r="X21" s="6" t="s">
        <v>216</v>
      </c>
      <c r="Y21" s="43">
        <v>0.2</v>
      </c>
      <c r="Z21" s="44">
        <v>0.2</v>
      </c>
      <c r="AA21" s="6" t="s">
        <v>217</v>
      </c>
      <c r="AB21" s="6" t="s">
        <v>99</v>
      </c>
      <c r="AC21" s="52"/>
      <c r="AD21" s="46" t="s">
        <v>101</v>
      </c>
      <c r="AE21" s="46" t="s">
        <v>101</v>
      </c>
      <c r="AF21" s="46" t="s">
        <v>101</v>
      </c>
      <c r="AG21" s="46" t="s">
        <v>101</v>
      </c>
      <c r="AH21" s="46" t="s">
        <v>101</v>
      </c>
      <c r="AI21" s="46" t="s">
        <v>101</v>
      </c>
      <c r="AJ21" s="27" t="str">
        <f t="shared" si="1"/>
        <v>ND</v>
      </c>
      <c r="AK21" s="47" t="str">
        <f t="shared" si="2"/>
        <v/>
      </c>
      <c r="AL21" s="27" t="str">
        <f t="shared" si="3"/>
        <v>증빙 미입증</v>
      </c>
      <c r="AM21" s="48"/>
      <c r="AN21" s="48" t="s">
        <v>109</v>
      </c>
    </row>
    <row r="22" ht="61.5" customHeight="1">
      <c r="B22" s="49"/>
      <c r="C22" s="30" t="s">
        <v>219</v>
      </c>
      <c r="D22" s="32" t="str">
        <f>IF('질문별 결과'!$P$9="","",'질문별 결과'!$P$9)</f>
        <v/>
      </c>
      <c r="E22" s="33" t="s">
        <v>93</v>
      </c>
      <c r="F22" s="34" t="s">
        <v>94</v>
      </c>
      <c r="G22" s="35" t="s">
        <v>221</v>
      </c>
      <c r="H22" s="36" t="s">
        <v>222</v>
      </c>
      <c r="U22" s="52"/>
      <c r="V22" s="52"/>
      <c r="W22" s="19" t="s">
        <v>140</v>
      </c>
      <c r="X22" s="6" t="s">
        <v>223</v>
      </c>
      <c r="Y22" s="43">
        <v>0.2</v>
      </c>
      <c r="Z22" s="44">
        <v>0.2</v>
      </c>
      <c r="AA22" s="6" t="s">
        <v>224</v>
      </c>
      <c r="AB22" s="6" t="s">
        <v>99</v>
      </c>
      <c r="AC22" s="52"/>
      <c r="AD22" s="46" t="s">
        <v>101</v>
      </c>
      <c r="AE22" s="46" t="s">
        <v>101</v>
      </c>
      <c r="AF22" s="46" t="s">
        <v>101</v>
      </c>
      <c r="AG22" s="46" t="s">
        <v>101</v>
      </c>
      <c r="AH22" s="46" t="s">
        <v>101</v>
      </c>
      <c r="AI22" s="46" t="s">
        <v>101</v>
      </c>
      <c r="AJ22" s="27" t="str">
        <f t="shared" si="1"/>
        <v>ND</v>
      </c>
      <c r="AK22" s="47" t="str">
        <f t="shared" si="2"/>
        <v/>
      </c>
      <c r="AL22" s="27" t="str">
        <f t="shared" si="3"/>
        <v>증빙 미입증</v>
      </c>
      <c r="AM22" s="48"/>
      <c r="AN22" s="48" t="s">
        <v>109</v>
      </c>
    </row>
    <row r="23" ht="61.5" customHeight="1">
      <c r="B23" s="49"/>
      <c r="C23" s="50"/>
      <c r="D23" s="50"/>
      <c r="E23" s="50"/>
      <c r="F23" s="34" t="s">
        <v>110</v>
      </c>
      <c r="G23" s="35" t="s">
        <v>200</v>
      </c>
      <c r="H23" s="51" t="s">
        <v>225</v>
      </c>
      <c r="U23" s="56"/>
      <c r="V23" s="56"/>
      <c r="W23" s="19" t="s">
        <v>152</v>
      </c>
      <c r="X23" s="6" t="s">
        <v>226</v>
      </c>
      <c r="Y23" s="43">
        <v>0.2</v>
      </c>
      <c r="Z23" s="44">
        <v>0.2</v>
      </c>
      <c r="AA23" s="6" t="s">
        <v>227</v>
      </c>
      <c r="AB23" s="6" t="s">
        <v>99</v>
      </c>
      <c r="AC23" s="56"/>
      <c r="AD23" s="46" t="s">
        <v>101</v>
      </c>
      <c r="AE23" s="46" t="s">
        <v>101</v>
      </c>
      <c r="AF23" s="46" t="s">
        <v>101</v>
      </c>
      <c r="AG23" s="46" t="s">
        <v>101</v>
      </c>
      <c r="AH23" s="46" t="s">
        <v>101</v>
      </c>
      <c r="AI23" s="46" t="s">
        <v>101</v>
      </c>
      <c r="AJ23" s="27" t="str">
        <f t="shared" si="1"/>
        <v>ND</v>
      </c>
      <c r="AK23" s="47" t="str">
        <f t="shared" si="2"/>
        <v/>
      </c>
      <c r="AL23" s="27" t="str">
        <f t="shared" si="3"/>
        <v>증빙 미입증</v>
      </c>
      <c r="AM23" s="48"/>
      <c r="AN23" s="48" t="s">
        <v>109</v>
      </c>
    </row>
    <row r="24" ht="61.5" customHeight="1">
      <c r="B24" s="49"/>
      <c r="C24" s="50"/>
      <c r="D24" s="50"/>
      <c r="E24" s="50"/>
      <c r="F24" s="34" t="s">
        <v>119</v>
      </c>
      <c r="G24" s="35" t="s">
        <v>211</v>
      </c>
      <c r="H24" s="53" t="s">
        <v>228</v>
      </c>
      <c r="U24" s="57" t="s">
        <v>134</v>
      </c>
      <c r="V24" s="57" t="s">
        <v>135</v>
      </c>
      <c r="W24" s="19" t="s">
        <v>97</v>
      </c>
      <c r="X24" s="6" t="s">
        <v>229</v>
      </c>
      <c r="Y24" s="43">
        <v>0.2</v>
      </c>
      <c r="Z24" s="44">
        <v>0.2</v>
      </c>
      <c r="AA24" s="6" t="s">
        <v>230</v>
      </c>
      <c r="AB24" s="6" t="s">
        <v>99</v>
      </c>
      <c r="AC24" s="58" t="s">
        <v>231</v>
      </c>
      <c r="AD24" s="46" t="s">
        <v>101</v>
      </c>
      <c r="AE24" s="46" t="s">
        <v>101</v>
      </c>
      <c r="AF24" s="46" t="s">
        <v>101</v>
      </c>
      <c r="AG24" s="46" t="s">
        <v>101</v>
      </c>
      <c r="AH24" s="46" t="s">
        <v>101</v>
      </c>
      <c r="AI24" s="46" t="s">
        <v>101</v>
      </c>
      <c r="AJ24" s="27" t="str">
        <f t="shared" si="1"/>
        <v>ND</v>
      </c>
      <c r="AK24" s="47" t="str">
        <f t="shared" si="2"/>
        <v/>
      </c>
      <c r="AL24" s="27" t="str">
        <f t="shared" si="3"/>
        <v>증빙 미입증</v>
      </c>
      <c r="AM24" s="48"/>
      <c r="AN24" s="48" t="s">
        <v>109</v>
      </c>
    </row>
    <row r="25" ht="61.5" customHeight="1">
      <c r="B25" s="59"/>
      <c r="C25" s="54"/>
      <c r="D25" s="54"/>
      <c r="E25" s="54"/>
      <c r="F25" s="34" t="s">
        <v>131</v>
      </c>
      <c r="G25" s="35" t="s">
        <v>214</v>
      </c>
      <c r="H25" s="55" t="s">
        <v>234</v>
      </c>
      <c r="U25" s="52"/>
      <c r="V25" s="52"/>
      <c r="W25" s="19" t="s">
        <v>117</v>
      </c>
      <c r="X25" s="6" t="s">
        <v>235</v>
      </c>
      <c r="Y25" s="43">
        <v>0.2</v>
      </c>
      <c r="Z25" s="44">
        <v>0.2</v>
      </c>
      <c r="AA25" s="6" t="s">
        <v>236</v>
      </c>
      <c r="AB25" s="6" t="s">
        <v>99</v>
      </c>
      <c r="AC25" s="52"/>
      <c r="AD25" s="46" t="s">
        <v>101</v>
      </c>
      <c r="AE25" s="46" t="s">
        <v>101</v>
      </c>
      <c r="AF25" s="46" t="s">
        <v>101</v>
      </c>
      <c r="AG25" s="46" t="s">
        <v>101</v>
      </c>
      <c r="AH25" s="46" t="s">
        <v>101</v>
      </c>
      <c r="AI25" s="46" t="s">
        <v>101</v>
      </c>
      <c r="AJ25" s="27" t="str">
        <f t="shared" si="1"/>
        <v>ND</v>
      </c>
      <c r="AK25" s="47" t="str">
        <f t="shared" si="2"/>
        <v/>
      </c>
      <c r="AL25" s="27" t="str">
        <f t="shared" si="3"/>
        <v>증빙 미입증</v>
      </c>
      <c r="AM25" s="48"/>
      <c r="AN25" s="48" t="s">
        <v>109</v>
      </c>
    </row>
    <row r="26" ht="61.5" customHeight="1">
      <c r="B26" s="60" t="s">
        <v>237</v>
      </c>
      <c r="C26" s="61"/>
      <c r="D26" s="62" t="str">
        <f>IFERROR(AVERAGE(D18:D25),"미입력")</f>
        <v>미입력</v>
      </c>
      <c r="E26" s="63" t="s">
        <v>93</v>
      </c>
      <c r="F26" s="64"/>
      <c r="G26" s="65"/>
      <c r="H26" s="66"/>
      <c r="U26" s="52"/>
      <c r="V26" s="52"/>
      <c r="W26" s="19" t="s">
        <v>129</v>
      </c>
      <c r="X26" s="6" t="s">
        <v>239</v>
      </c>
      <c r="Y26" s="43">
        <v>0.2</v>
      </c>
      <c r="Z26" s="44">
        <v>0.2</v>
      </c>
      <c r="AA26" s="6" t="s">
        <v>240</v>
      </c>
      <c r="AB26" s="6" t="s">
        <v>99</v>
      </c>
      <c r="AC26" s="52"/>
      <c r="AD26" s="46" t="s">
        <v>101</v>
      </c>
      <c r="AE26" s="46" t="s">
        <v>101</v>
      </c>
      <c r="AF26" s="46" t="s">
        <v>101</v>
      </c>
      <c r="AG26" s="46" t="s">
        <v>101</v>
      </c>
      <c r="AH26" s="46" t="s">
        <v>101</v>
      </c>
      <c r="AI26" s="46" t="s">
        <v>101</v>
      </c>
      <c r="AJ26" s="27" t="str">
        <f t="shared" si="1"/>
        <v>ND</v>
      </c>
      <c r="AK26" s="47" t="str">
        <f t="shared" si="2"/>
        <v/>
      </c>
      <c r="AL26" s="27" t="str">
        <f t="shared" si="3"/>
        <v>증빙 미입증</v>
      </c>
      <c r="AM26" s="48"/>
      <c r="AN26" s="48" t="s">
        <v>109</v>
      </c>
    </row>
    <row r="27" ht="61.5" customHeight="1">
      <c r="B27" s="28" t="s">
        <v>171</v>
      </c>
      <c r="C27" s="30" t="s">
        <v>242</v>
      </c>
      <c r="D27" s="32" t="str">
        <f>IF('질문별 결과'!$P$10="","",'질문별 결과'!$P$10)</f>
        <v/>
      </c>
      <c r="E27" s="33" t="s">
        <v>93</v>
      </c>
      <c r="F27" s="34" t="s">
        <v>94</v>
      </c>
      <c r="G27" s="35" t="s">
        <v>244</v>
      </c>
      <c r="H27" s="36" t="s">
        <v>245</v>
      </c>
      <c r="U27" s="52"/>
      <c r="V27" s="52"/>
      <c r="W27" s="19" t="s">
        <v>140</v>
      </c>
      <c r="X27" s="6" t="s">
        <v>246</v>
      </c>
      <c r="Y27" s="43">
        <v>0.2</v>
      </c>
      <c r="Z27" s="44">
        <v>0.2</v>
      </c>
      <c r="AA27" s="6" t="s">
        <v>247</v>
      </c>
      <c r="AB27" s="6" t="s">
        <v>99</v>
      </c>
      <c r="AC27" s="52"/>
      <c r="AD27" s="46" t="s">
        <v>101</v>
      </c>
      <c r="AE27" s="46" t="s">
        <v>101</v>
      </c>
      <c r="AF27" s="46" t="s">
        <v>101</v>
      </c>
      <c r="AG27" s="46" t="s">
        <v>101</v>
      </c>
      <c r="AH27" s="46" t="s">
        <v>101</v>
      </c>
      <c r="AI27" s="46" t="s">
        <v>101</v>
      </c>
      <c r="AJ27" s="27" t="str">
        <f t="shared" si="1"/>
        <v>ND</v>
      </c>
      <c r="AK27" s="47" t="str">
        <f t="shared" si="2"/>
        <v/>
      </c>
      <c r="AL27" s="27" t="str">
        <f t="shared" si="3"/>
        <v>증빙 미입증</v>
      </c>
      <c r="AM27" s="48"/>
      <c r="AN27" s="48" t="s">
        <v>109</v>
      </c>
    </row>
    <row r="28" ht="61.5" customHeight="1">
      <c r="B28" s="49"/>
      <c r="C28" s="50"/>
      <c r="D28" s="50"/>
      <c r="E28" s="50"/>
      <c r="F28" s="34" t="s">
        <v>110</v>
      </c>
      <c r="G28" s="35" t="s">
        <v>248</v>
      </c>
      <c r="H28" s="51" t="s">
        <v>249</v>
      </c>
      <c r="U28" s="56"/>
      <c r="V28" s="56"/>
      <c r="W28" s="19" t="s">
        <v>152</v>
      </c>
      <c r="X28" s="6" t="s">
        <v>250</v>
      </c>
      <c r="Y28" s="43">
        <v>0.2</v>
      </c>
      <c r="Z28" s="44">
        <v>0.2</v>
      </c>
      <c r="AA28" s="6" t="s">
        <v>251</v>
      </c>
      <c r="AB28" s="6" t="s">
        <v>99</v>
      </c>
      <c r="AC28" s="56"/>
      <c r="AD28" s="46" t="s">
        <v>101</v>
      </c>
      <c r="AE28" s="46" t="s">
        <v>101</v>
      </c>
      <c r="AF28" s="46" t="s">
        <v>101</v>
      </c>
      <c r="AG28" s="46" t="s">
        <v>101</v>
      </c>
      <c r="AH28" s="46" t="s">
        <v>101</v>
      </c>
      <c r="AI28" s="46" t="s">
        <v>101</v>
      </c>
      <c r="AJ28" s="27" t="str">
        <f t="shared" si="1"/>
        <v>ND</v>
      </c>
      <c r="AK28" s="47" t="str">
        <f t="shared" si="2"/>
        <v/>
      </c>
      <c r="AL28" s="27" t="str">
        <f t="shared" si="3"/>
        <v>증빙 미입증</v>
      </c>
      <c r="AM28" s="48"/>
      <c r="AN28" s="48" t="s">
        <v>109</v>
      </c>
    </row>
    <row r="29" ht="61.5" customHeight="1">
      <c r="B29" s="49"/>
      <c r="C29" s="50"/>
      <c r="D29" s="50"/>
      <c r="E29" s="50"/>
      <c r="F29" s="34" t="s">
        <v>119</v>
      </c>
      <c r="G29" s="35" t="s">
        <v>252</v>
      </c>
      <c r="H29" s="53" t="s">
        <v>253</v>
      </c>
      <c r="U29" s="42" t="s">
        <v>146</v>
      </c>
      <c r="V29" s="42" t="s">
        <v>147</v>
      </c>
      <c r="W29" s="19" t="s">
        <v>97</v>
      </c>
      <c r="X29" s="6" t="s">
        <v>255</v>
      </c>
      <c r="Y29" s="43">
        <v>0.2</v>
      </c>
      <c r="Z29" s="44">
        <v>0.2</v>
      </c>
      <c r="AA29" s="6" t="s">
        <v>256</v>
      </c>
      <c r="AB29" s="6" t="s">
        <v>99</v>
      </c>
      <c r="AC29" s="45" t="s">
        <v>257</v>
      </c>
      <c r="AD29" s="46" t="s">
        <v>101</v>
      </c>
      <c r="AE29" s="46" t="s">
        <v>101</v>
      </c>
      <c r="AF29" s="46" t="s">
        <v>101</v>
      </c>
      <c r="AG29" s="46" t="s">
        <v>101</v>
      </c>
      <c r="AH29" s="46" t="s">
        <v>101</v>
      </c>
      <c r="AI29" s="46" t="s">
        <v>101</v>
      </c>
      <c r="AJ29" s="27" t="str">
        <f t="shared" si="1"/>
        <v>ND</v>
      </c>
      <c r="AK29" s="47" t="str">
        <f t="shared" si="2"/>
        <v/>
      </c>
      <c r="AL29" s="27" t="str">
        <f t="shared" si="3"/>
        <v>증빙 미입증</v>
      </c>
      <c r="AM29" s="48"/>
      <c r="AN29" s="48" t="s">
        <v>109</v>
      </c>
    </row>
    <row r="30" ht="61.5" customHeight="1">
      <c r="B30" s="49"/>
      <c r="C30" s="54"/>
      <c r="D30" s="54"/>
      <c r="E30" s="54"/>
      <c r="F30" s="34" t="s">
        <v>131</v>
      </c>
      <c r="G30" s="35" t="s">
        <v>260</v>
      </c>
      <c r="H30" s="55" t="s">
        <v>261</v>
      </c>
      <c r="U30" s="52"/>
      <c r="V30" s="52"/>
      <c r="W30" s="19" t="s">
        <v>117</v>
      </c>
      <c r="X30" s="6" t="s">
        <v>262</v>
      </c>
      <c r="Y30" s="43">
        <v>0.2</v>
      </c>
      <c r="Z30" s="44">
        <v>0.2</v>
      </c>
      <c r="AA30" s="6" t="s">
        <v>263</v>
      </c>
      <c r="AB30" s="6" t="s">
        <v>99</v>
      </c>
      <c r="AC30" s="52"/>
      <c r="AD30" s="46" t="s">
        <v>101</v>
      </c>
      <c r="AE30" s="46" t="s">
        <v>101</v>
      </c>
      <c r="AF30" s="46" t="s">
        <v>101</v>
      </c>
      <c r="AG30" s="46" t="s">
        <v>101</v>
      </c>
      <c r="AH30" s="46" t="s">
        <v>101</v>
      </c>
      <c r="AI30" s="46" t="s">
        <v>101</v>
      </c>
      <c r="AJ30" s="27" t="str">
        <f t="shared" si="1"/>
        <v>ND</v>
      </c>
      <c r="AK30" s="47" t="str">
        <f t="shared" si="2"/>
        <v/>
      </c>
      <c r="AL30" s="27" t="str">
        <f t="shared" si="3"/>
        <v>증빙 미입증</v>
      </c>
      <c r="AM30" s="48"/>
      <c r="AN30" s="48" t="s">
        <v>109</v>
      </c>
    </row>
    <row r="31" ht="61.5" customHeight="1">
      <c r="B31" s="49"/>
      <c r="C31" s="30" t="s">
        <v>264</v>
      </c>
      <c r="D31" s="32" t="str">
        <f>IF('질문별 결과'!$P$11="","",'질문별 결과'!$P$11)</f>
        <v/>
      </c>
      <c r="E31" s="33" t="s">
        <v>93</v>
      </c>
      <c r="F31" s="34" t="s">
        <v>94</v>
      </c>
      <c r="G31" s="35" t="s">
        <v>265</v>
      </c>
      <c r="H31" s="36" t="s">
        <v>266</v>
      </c>
      <c r="U31" s="52"/>
      <c r="V31" s="52"/>
      <c r="W31" s="19" t="s">
        <v>129</v>
      </c>
      <c r="X31" s="6" t="s">
        <v>268</v>
      </c>
      <c r="Y31" s="43">
        <v>0.2</v>
      </c>
      <c r="Z31" s="44">
        <v>0.2</v>
      </c>
      <c r="AA31" s="6" t="s">
        <v>269</v>
      </c>
      <c r="AB31" s="6" t="s">
        <v>99</v>
      </c>
      <c r="AC31" s="52"/>
      <c r="AD31" s="46" t="s">
        <v>101</v>
      </c>
      <c r="AE31" s="46" t="s">
        <v>101</v>
      </c>
      <c r="AF31" s="46" t="s">
        <v>101</v>
      </c>
      <c r="AG31" s="46" t="s">
        <v>101</v>
      </c>
      <c r="AH31" s="46" t="s">
        <v>101</v>
      </c>
      <c r="AI31" s="46" t="s">
        <v>101</v>
      </c>
      <c r="AJ31" s="27" t="str">
        <f t="shared" si="1"/>
        <v>ND</v>
      </c>
      <c r="AK31" s="47" t="str">
        <f t="shared" si="2"/>
        <v/>
      </c>
      <c r="AL31" s="27" t="str">
        <f t="shared" si="3"/>
        <v>증빙 미입증</v>
      </c>
      <c r="AM31" s="48"/>
      <c r="AN31" s="48" t="s">
        <v>109</v>
      </c>
    </row>
    <row r="32" ht="61.5" customHeight="1">
      <c r="B32" s="49"/>
      <c r="C32" s="50"/>
      <c r="D32" s="50"/>
      <c r="E32" s="50"/>
      <c r="F32" s="34" t="s">
        <v>110</v>
      </c>
      <c r="G32" s="35" t="s">
        <v>271</v>
      </c>
      <c r="H32" s="51" t="s">
        <v>272</v>
      </c>
      <c r="U32" s="52"/>
      <c r="V32" s="52"/>
      <c r="W32" s="19" t="s">
        <v>140</v>
      </c>
      <c r="X32" s="6" t="s">
        <v>273</v>
      </c>
      <c r="Y32" s="43">
        <v>0.2</v>
      </c>
      <c r="Z32" s="44">
        <v>0.2</v>
      </c>
      <c r="AA32" s="6" t="s">
        <v>274</v>
      </c>
      <c r="AB32" s="6" t="s">
        <v>99</v>
      </c>
      <c r="AC32" s="52"/>
      <c r="AD32" s="46" t="s">
        <v>101</v>
      </c>
      <c r="AE32" s="46" t="s">
        <v>101</v>
      </c>
      <c r="AF32" s="46" t="s">
        <v>101</v>
      </c>
      <c r="AG32" s="46" t="s">
        <v>101</v>
      </c>
      <c r="AH32" s="46" t="s">
        <v>101</v>
      </c>
      <c r="AI32" s="46" t="s">
        <v>101</v>
      </c>
      <c r="AJ32" s="27" t="str">
        <f t="shared" si="1"/>
        <v>ND</v>
      </c>
      <c r="AK32" s="47" t="str">
        <f t="shared" si="2"/>
        <v/>
      </c>
      <c r="AL32" s="27" t="str">
        <f t="shared" si="3"/>
        <v>증빙 미입증</v>
      </c>
      <c r="AM32" s="48"/>
      <c r="AN32" s="48" t="s">
        <v>109</v>
      </c>
    </row>
    <row r="33" ht="61.5" customHeight="1">
      <c r="B33" s="49"/>
      <c r="C33" s="50"/>
      <c r="D33" s="50"/>
      <c r="E33" s="50"/>
      <c r="F33" s="34" t="s">
        <v>119</v>
      </c>
      <c r="G33" s="35" t="s">
        <v>275</v>
      </c>
      <c r="H33" s="53" t="s">
        <v>276</v>
      </c>
      <c r="U33" s="56"/>
      <c r="V33" s="56"/>
      <c r="W33" s="19" t="s">
        <v>152</v>
      </c>
      <c r="X33" s="6" t="s">
        <v>278</v>
      </c>
      <c r="Y33" s="43">
        <v>0.2</v>
      </c>
      <c r="Z33" s="44">
        <v>0.2</v>
      </c>
      <c r="AA33" s="6" t="s">
        <v>279</v>
      </c>
      <c r="AB33" s="6" t="s">
        <v>99</v>
      </c>
      <c r="AC33" s="56"/>
      <c r="AD33" s="46" t="s">
        <v>101</v>
      </c>
      <c r="AE33" s="46" t="s">
        <v>101</v>
      </c>
      <c r="AF33" s="46" t="s">
        <v>101</v>
      </c>
      <c r="AG33" s="46" t="s">
        <v>101</v>
      </c>
      <c r="AH33" s="46" t="s">
        <v>101</v>
      </c>
      <c r="AI33" s="46" t="s">
        <v>101</v>
      </c>
      <c r="AJ33" s="27" t="str">
        <f t="shared" si="1"/>
        <v>ND</v>
      </c>
      <c r="AK33" s="47" t="str">
        <f t="shared" si="2"/>
        <v/>
      </c>
      <c r="AL33" s="27" t="str">
        <f t="shared" si="3"/>
        <v>증빙 미입증</v>
      </c>
      <c r="AM33" s="48"/>
      <c r="AN33" s="48" t="s">
        <v>109</v>
      </c>
    </row>
    <row r="34" ht="61.5" customHeight="1">
      <c r="B34" s="49"/>
      <c r="C34" s="54"/>
      <c r="D34" s="54"/>
      <c r="E34" s="54"/>
      <c r="F34" s="34" t="s">
        <v>131</v>
      </c>
      <c r="G34" s="35" t="s">
        <v>282</v>
      </c>
      <c r="H34" s="55" t="s">
        <v>283</v>
      </c>
      <c r="U34" s="57" t="s">
        <v>158</v>
      </c>
      <c r="V34" s="57" t="s">
        <v>159</v>
      </c>
      <c r="W34" s="19" t="s">
        <v>97</v>
      </c>
      <c r="X34" s="6" t="s">
        <v>284</v>
      </c>
      <c r="Y34" s="43">
        <v>0.2</v>
      </c>
      <c r="Z34" s="44">
        <v>0.2</v>
      </c>
      <c r="AA34" s="6" t="s">
        <v>285</v>
      </c>
      <c r="AB34" s="6" t="s">
        <v>99</v>
      </c>
      <c r="AC34" s="58" t="s">
        <v>286</v>
      </c>
      <c r="AD34" s="46" t="s">
        <v>101</v>
      </c>
      <c r="AE34" s="46" t="s">
        <v>101</v>
      </c>
      <c r="AF34" s="46" t="s">
        <v>101</v>
      </c>
      <c r="AG34" s="46" t="s">
        <v>101</v>
      </c>
      <c r="AH34" s="46" t="s">
        <v>101</v>
      </c>
      <c r="AI34" s="46" t="s">
        <v>101</v>
      </c>
      <c r="AJ34" s="27" t="str">
        <f t="shared" si="1"/>
        <v>ND</v>
      </c>
      <c r="AK34" s="47" t="str">
        <f t="shared" si="2"/>
        <v/>
      </c>
      <c r="AL34" s="27" t="str">
        <f t="shared" si="3"/>
        <v>증빙 미입증</v>
      </c>
      <c r="AM34" s="48"/>
      <c r="AN34" s="48" t="s">
        <v>109</v>
      </c>
    </row>
    <row r="35" ht="61.5" customHeight="1">
      <c r="B35" s="49"/>
      <c r="C35" s="30" t="s">
        <v>288</v>
      </c>
      <c r="D35" s="32" t="str">
        <f>IF('질문별 결과'!$P$12="","",'질문별 결과'!$P$12)</f>
        <v/>
      </c>
      <c r="E35" s="33" t="s">
        <v>93</v>
      </c>
      <c r="F35" s="34" t="s">
        <v>94</v>
      </c>
      <c r="G35" s="35" t="s">
        <v>291</v>
      </c>
      <c r="H35" s="36" t="s">
        <v>292</v>
      </c>
      <c r="U35" s="52"/>
      <c r="V35" s="52"/>
      <c r="W35" s="19" t="s">
        <v>117</v>
      </c>
      <c r="X35" s="6" t="s">
        <v>293</v>
      </c>
      <c r="Y35" s="43">
        <v>0.2</v>
      </c>
      <c r="Z35" s="44">
        <v>0.2</v>
      </c>
      <c r="AA35" s="6" t="s">
        <v>294</v>
      </c>
      <c r="AB35" s="6" t="s">
        <v>99</v>
      </c>
      <c r="AC35" s="52"/>
      <c r="AD35" s="46" t="s">
        <v>101</v>
      </c>
      <c r="AE35" s="46" t="s">
        <v>101</v>
      </c>
      <c r="AF35" s="46" t="s">
        <v>101</v>
      </c>
      <c r="AG35" s="46" t="s">
        <v>101</v>
      </c>
      <c r="AH35" s="46" t="s">
        <v>101</v>
      </c>
      <c r="AI35" s="46" t="s">
        <v>101</v>
      </c>
      <c r="AJ35" s="27" t="str">
        <f t="shared" si="1"/>
        <v>ND</v>
      </c>
      <c r="AK35" s="47" t="str">
        <f t="shared" si="2"/>
        <v/>
      </c>
      <c r="AL35" s="27" t="str">
        <f t="shared" si="3"/>
        <v>증빙 미입증</v>
      </c>
      <c r="AM35" s="48"/>
      <c r="AN35" s="48" t="s">
        <v>109</v>
      </c>
    </row>
    <row r="36" ht="61.5" customHeight="1">
      <c r="B36" s="49"/>
      <c r="C36" s="50"/>
      <c r="D36" s="50"/>
      <c r="E36" s="50"/>
      <c r="F36" s="34" t="s">
        <v>110</v>
      </c>
      <c r="G36" s="35" t="s">
        <v>295</v>
      </c>
      <c r="H36" s="51" t="s">
        <v>296</v>
      </c>
      <c r="U36" s="52"/>
      <c r="V36" s="52"/>
      <c r="W36" s="19" t="s">
        <v>129</v>
      </c>
      <c r="X36" s="6" t="s">
        <v>297</v>
      </c>
      <c r="Y36" s="43">
        <v>0.2</v>
      </c>
      <c r="Z36" s="44">
        <v>0.2</v>
      </c>
      <c r="AA36" s="6" t="s">
        <v>298</v>
      </c>
      <c r="AB36" s="6" t="s">
        <v>99</v>
      </c>
      <c r="AC36" s="52"/>
      <c r="AD36" s="46" t="s">
        <v>101</v>
      </c>
      <c r="AE36" s="46" t="s">
        <v>101</v>
      </c>
      <c r="AF36" s="46" t="s">
        <v>101</v>
      </c>
      <c r="AG36" s="46" t="s">
        <v>101</v>
      </c>
      <c r="AH36" s="46" t="s">
        <v>101</v>
      </c>
      <c r="AI36" s="46" t="s">
        <v>101</v>
      </c>
      <c r="AJ36" s="27" t="str">
        <f t="shared" si="1"/>
        <v>ND</v>
      </c>
      <c r="AK36" s="47" t="str">
        <f t="shared" si="2"/>
        <v/>
      </c>
      <c r="AL36" s="27" t="str">
        <f t="shared" si="3"/>
        <v>증빙 미입증</v>
      </c>
      <c r="AM36" s="48"/>
      <c r="AN36" s="48" t="s">
        <v>109</v>
      </c>
    </row>
    <row r="37" ht="61.5" customHeight="1">
      <c r="B37" s="49"/>
      <c r="C37" s="50"/>
      <c r="D37" s="50"/>
      <c r="E37" s="50"/>
      <c r="F37" s="34" t="s">
        <v>119</v>
      </c>
      <c r="G37" s="35" t="s">
        <v>299</v>
      </c>
      <c r="H37" s="53" t="s">
        <v>300</v>
      </c>
      <c r="U37" s="52"/>
      <c r="V37" s="52"/>
      <c r="W37" s="19" t="s">
        <v>140</v>
      </c>
      <c r="X37" s="6" t="s">
        <v>301</v>
      </c>
      <c r="Y37" s="43">
        <v>0.2</v>
      </c>
      <c r="Z37" s="44">
        <v>0.2</v>
      </c>
      <c r="AA37" s="6" t="s">
        <v>302</v>
      </c>
      <c r="AB37" s="6" t="s">
        <v>99</v>
      </c>
      <c r="AC37" s="52"/>
      <c r="AD37" s="46" t="s">
        <v>101</v>
      </c>
      <c r="AE37" s="46" t="s">
        <v>101</v>
      </c>
      <c r="AF37" s="46" t="s">
        <v>101</v>
      </c>
      <c r="AG37" s="46" t="s">
        <v>101</v>
      </c>
      <c r="AH37" s="46" t="s">
        <v>101</v>
      </c>
      <c r="AI37" s="46" t="s">
        <v>101</v>
      </c>
      <c r="AJ37" s="27" t="str">
        <f t="shared" si="1"/>
        <v>ND</v>
      </c>
      <c r="AK37" s="47" t="str">
        <f t="shared" si="2"/>
        <v/>
      </c>
      <c r="AL37" s="27" t="str">
        <f t="shared" si="3"/>
        <v>증빙 미입증</v>
      </c>
      <c r="AM37" s="48"/>
      <c r="AN37" s="48" t="s">
        <v>109</v>
      </c>
    </row>
    <row r="38" ht="61.5" customHeight="1">
      <c r="B38" s="49"/>
      <c r="C38" s="54"/>
      <c r="D38" s="54"/>
      <c r="E38" s="54"/>
      <c r="F38" s="34" t="s">
        <v>131</v>
      </c>
      <c r="G38" s="35" t="s">
        <v>303</v>
      </c>
      <c r="H38" s="55" t="s">
        <v>304</v>
      </c>
      <c r="U38" s="56"/>
      <c r="V38" s="56"/>
      <c r="W38" s="19" t="s">
        <v>152</v>
      </c>
      <c r="X38" s="6" t="s">
        <v>305</v>
      </c>
      <c r="Y38" s="43">
        <v>0.2</v>
      </c>
      <c r="Z38" s="44">
        <v>0.2</v>
      </c>
      <c r="AA38" s="6" t="s">
        <v>306</v>
      </c>
      <c r="AB38" s="6" t="s">
        <v>99</v>
      </c>
      <c r="AC38" s="56"/>
      <c r="AD38" s="46" t="s">
        <v>101</v>
      </c>
      <c r="AE38" s="46" t="s">
        <v>101</v>
      </c>
      <c r="AF38" s="46" t="s">
        <v>101</v>
      </c>
      <c r="AG38" s="46" t="s">
        <v>101</v>
      </c>
      <c r="AH38" s="46" t="s">
        <v>101</v>
      </c>
      <c r="AI38" s="46" t="s">
        <v>101</v>
      </c>
      <c r="AJ38" s="27" t="str">
        <f t="shared" si="1"/>
        <v>ND</v>
      </c>
      <c r="AK38" s="47" t="str">
        <f t="shared" si="2"/>
        <v/>
      </c>
      <c r="AL38" s="27" t="str">
        <f t="shared" si="3"/>
        <v>증빙 미입증</v>
      </c>
      <c r="AM38" s="48"/>
      <c r="AN38" s="48" t="s">
        <v>109</v>
      </c>
    </row>
    <row r="39" ht="61.5" customHeight="1">
      <c r="B39" s="60" t="s">
        <v>308</v>
      </c>
      <c r="C39" s="61"/>
      <c r="D39" s="62" t="str">
        <f>IFERROR(ROUND(AVERAGE(D27:D38),1),"미입력")</f>
        <v>미입력</v>
      </c>
      <c r="E39" s="63" t="s">
        <v>93</v>
      </c>
      <c r="F39" s="64"/>
      <c r="G39" s="65"/>
      <c r="H39" s="66"/>
      <c r="U39" s="42" t="s">
        <v>165</v>
      </c>
      <c r="V39" s="42" t="s">
        <v>166</v>
      </c>
      <c r="W39" s="19" t="s">
        <v>97</v>
      </c>
      <c r="X39" s="6" t="s">
        <v>310</v>
      </c>
      <c r="Y39" s="43">
        <v>0.2</v>
      </c>
      <c r="Z39" s="44">
        <v>0.2</v>
      </c>
      <c r="AA39" s="6" t="s">
        <v>311</v>
      </c>
      <c r="AB39" s="6" t="s">
        <v>99</v>
      </c>
      <c r="AC39" s="45" t="s">
        <v>312</v>
      </c>
      <c r="AD39" s="46" t="s">
        <v>101</v>
      </c>
      <c r="AE39" s="46" t="s">
        <v>101</v>
      </c>
      <c r="AF39" s="46" t="s">
        <v>101</v>
      </c>
      <c r="AG39" s="46" t="s">
        <v>101</v>
      </c>
      <c r="AH39" s="46" t="s">
        <v>101</v>
      </c>
      <c r="AI39" s="46" t="s">
        <v>101</v>
      </c>
      <c r="AJ39" s="27" t="str">
        <f t="shared" si="1"/>
        <v>ND</v>
      </c>
      <c r="AK39" s="47" t="str">
        <f t="shared" si="2"/>
        <v/>
      </c>
      <c r="AL39" s="27" t="str">
        <f t="shared" si="3"/>
        <v>증빙 미입증</v>
      </c>
      <c r="AM39" s="48"/>
      <c r="AN39" s="48" t="s">
        <v>109</v>
      </c>
    </row>
    <row r="40" ht="61.5" customHeight="1">
      <c r="B40" s="28" t="s">
        <v>233</v>
      </c>
      <c r="C40" s="68" t="s">
        <v>314</v>
      </c>
      <c r="D40" s="32" t="str">
        <f>IF('질문별 결과'!$P$13="","",'질문별 결과'!$P$13)</f>
        <v/>
      </c>
      <c r="E40" s="33" t="s">
        <v>93</v>
      </c>
      <c r="F40" s="34" t="s">
        <v>94</v>
      </c>
      <c r="G40" s="69" t="s">
        <v>316</v>
      </c>
      <c r="H40" s="36" t="s">
        <v>317</v>
      </c>
      <c r="U40" s="52"/>
      <c r="V40" s="52"/>
      <c r="W40" s="19" t="s">
        <v>117</v>
      </c>
      <c r="X40" s="6" t="s">
        <v>318</v>
      </c>
      <c r="Y40" s="43">
        <v>0.2</v>
      </c>
      <c r="Z40" s="44">
        <v>0.2</v>
      </c>
      <c r="AA40" s="6" t="s">
        <v>320</v>
      </c>
      <c r="AB40" s="6" t="s">
        <v>99</v>
      </c>
      <c r="AC40" s="52"/>
      <c r="AD40" s="46" t="s">
        <v>101</v>
      </c>
      <c r="AE40" s="46" t="s">
        <v>101</v>
      </c>
      <c r="AF40" s="46" t="s">
        <v>101</v>
      </c>
      <c r="AG40" s="46" t="s">
        <v>101</v>
      </c>
      <c r="AH40" s="46" t="s">
        <v>101</v>
      </c>
      <c r="AI40" s="46" t="s">
        <v>101</v>
      </c>
      <c r="AJ40" s="27" t="str">
        <f t="shared" si="1"/>
        <v>ND</v>
      </c>
      <c r="AK40" s="47" t="str">
        <f t="shared" si="2"/>
        <v/>
      </c>
      <c r="AL40" s="27" t="str">
        <f t="shared" si="3"/>
        <v>증빙 미입증</v>
      </c>
      <c r="AM40" s="48"/>
      <c r="AN40" s="48" t="s">
        <v>109</v>
      </c>
    </row>
    <row r="41" ht="61.5" customHeight="1">
      <c r="B41" s="49"/>
      <c r="C41" s="50"/>
      <c r="D41" s="50"/>
      <c r="E41" s="50"/>
      <c r="F41" s="34" t="s">
        <v>110</v>
      </c>
      <c r="G41" s="35" t="s">
        <v>322</v>
      </c>
      <c r="H41" s="51" t="s">
        <v>323</v>
      </c>
      <c r="U41" s="52"/>
      <c r="V41" s="52"/>
      <c r="W41" s="19" t="s">
        <v>129</v>
      </c>
      <c r="X41" s="6" t="s">
        <v>324</v>
      </c>
      <c r="Y41" s="43">
        <v>0.2</v>
      </c>
      <c r="Z41" s="44">
        <v>0.2</v>
      </c>
      <c r="AA41" s="6" t="s">
        <v>325</v>
      </c>
      <c r="AB41" s="6" t="s">
        <v>99</v>
      </c>
      <c r="AC41" s="52"/>
      <c r="AD41" s="46" t="s">
        <v>101</v>
      </c>
      <c r="AE41" s="46" t="s">
        <v>101</v>
      </c>
      <c r="AF41" s="46" t="s">
        <v>101</v>
      </c>
      <c r="AG41" s="46" t="s">
        <v>101</v>
      </c>
      <c r="AH41" s="46" t="s">
        <v>101</v>
      </c>
      <c r="AI41" s="46" t="s">
        <v>101</v>
      </c>
      <c r="AJ41" s="27" t="str">
        <f t="shared" si="1"/>
        <v>ND</v>
      </c>
      <c r="AK41" s="47" t="str">
        <f t="shared" si="2"/>
        <v/>
      </c>
      <c r="AL41" s="27" t="str">
        <f t="shared" si="3"/>
        <v>증빙 미입증</v>
      </c>
      <c r="AM41" s="48"/>
      <c r="AN41" s="48" t="s">
        <v>109</v>
      </c>
    </row>
    <row r="42" ht="61.5" customHeight="1">
      <c r="B42" s="49"/>
      <c r="C42" s="50"/>
      <c r="D42" s="50"/>
      <c r="E42" s="50"/>
      <c r="F42" s="34" t="s">
        <v>119</v>
      </c>
      <c r="G42" s="35" t="s">
        <v>326</v>
      </c>
      <c r="H42" s="53" t="s">
        <v>327</v>
      </c>
      <c r="U42" s="52"/>
      <c r="V42" s="52"/>
      <c r="W42" s="19" t="s">
        <v>140</v>
      </c>
      <c r="X42" s="6" t="s">
        <v>328</v>
      </c>
      <c r="Y42" s="43">
        <v>0.2</v>
      </c>
      <c r="Z42" s="44">
        <v>0.2</v>
      </c>
      <c r="AA42" s="6" t="s">
        <v>329</v>
      </c>
      <c r="AB42" s="6" t="s">
        <v>99</v>
      </c>
      <c r="AC42" s="52"/>
      <c r="AD42" s="46" t="s">
        <v>101</v>
      </c>
      <c r="AE42" s="46" t="s">
        <v>101</v>
      </c>
      <c r="AF42" s="46" t="s">
        <v>101</v>
      </c>
      <c r="AG42" s="46" t="s">
        <v>101</v>
      </c>
      <c r="AH42" s="46" t="s">
        <v>101</v>
      </c>
      <c r="AI42" s="46" t="s">
        <v>101</v>
      </c>
      <c r="AJ42" s="27" t="str">
        <f t="shared" si="1"/>
        <v>ND</v>
      </c>
      <c r="AK42" s="47" t="str">
        <f t="shared" si="2"/>
        <v/>
      </c>
      <c r="AL42" s="27" t="str">
        <f t="shared" si="3"/>
        <v>증빙 미입증</v>
      </c>
      <c r="AM42" s="48"/>
      <c r="AN42" s="48" t="s">
        <v>109</v>
      </c>
    </row>
    <row r="43" ht="61.5" customHeight="1">
      <c r="B43" s="49"/>
      <c r="C43" s="54"/>
      <c r="D43" s="54"/>
      <c r="E43" s="54"/>
      <c r="F43" s="34" t="s">
        <v>131</v>
      </c>
      <c r="G43" s="35" t="s">
        <v>330</v>
      </c>
      <c r="H43" s="55" t="s">
        <v>331</v>
      </c>
      <c r="U43" s="56"/>
      <c r="V43" s="56"/>
      <c r="W43" s="19" t="s">
        <v>152</v>
      </c>
      <c r="X43" s="6" t="s">
        <v>332</v>
      </c>
      <c r="Y43" s="43">
        <v>0.2</v>
      </c>
      <c r="Z43" s="44">
        <v>0.2</v>
      </c>
      <c r="AA43" s="6" t="s">
        <v>333</v>
      </c>
      <c r="AB43" s="6" t="s">
        <v>99</v>
      </c>
      <c r="AC43" s="56"/>
      <c r="AD43" s="46" t="s">
        <v>101</v>
      </c>
      <c r="AE43" s="46" t="s">
        <v>101</v>
      </c>
      <c r="AF43" s="46" t="s">
        <v>101</v>
      </c>
      <c r="AG43" s="46" t="s">
        <v>101</v>
      </c>
      <c r="AH43" s="46" t="s">
        <v>101</v>
      </c>
      <c r="AI43" s="46" t="s">
        <v>101</v>
      </c>
      <c r="AJ43" s="27" t="str">
        <f t="shared" si="1"/>
        <v>ND</v>
      </c>
      <c r="AK43" s="47" t="str">
        <f t="shared" si="2"/>
        <v/>
      </c>
      <c r="AL43" s="27" t="str">
        <f t="shared" si="3"/>
        <v>증빙 미입증</v>
      </c>
      <c r="AM43" s="48"/>
      <c r="AN43" s="48" t="s">
        <v>109</v>
      </c>
    </row>
    <row r="44" ht="61.5" customHeight="1">
      <c r="B44" s="49"/>
      <c r="C44" s="30" t="s">
        <v>334</v>
      </c>
      <c r="D44" s="32" t="str">
        <f>IF('질문별 결과'!$P$14="","",'질문별 결과'!$P$14)</f>
        <v/>
      </c>
      <c r="E44" s="33" t="s">
        <v>93</v>
      </c>
      <c r="F44" s="34" t="s">
        <v>94</v>
      </c>
      <c r="G44" s="35" t="s">
        <v>335</v>
      </c>
      <c r="H44" s="36" t="s">
        <v>336</v>
      </c>
      <c r="U44" s="57" t="s">
        <v>175</v>
      </c>
      <c r="V44" s="57" t="s">
        <v>176</v>
      </c>
      <c r="W44" s="19" t="s">
        <v>97</v>
      </c>
      <c r="X44" s="6" t="s">
        <v>337</v>
      </c>
      <c r="Y44" s="43">
        <v>0.2</v>
      </c>
      <c r="Z44" s="44">
        <v>0.2</v>
      </c>
      <c r="AA44" s="6" t="s">
        <v>338</v>
      </c>
      <c r="AB44" s="6" t="s">
        <v>99</v>
      </c>
      <c r="AC44" s="58" t="s">
        <v>339</v>
      </c>
      <c r="AD44" s="46" t="s">
        <v>101</v>
      </c>
      <c r="AE44" s="46" t="s">
        <v>101</v>
      </c>
      <c r="AF44" s="46" t="s">
        <v>101</v>
      </c>
      <c r="AG44" s="46" t="s">
        <v>101</v>
      </c>
      <c r="AH44" s="46" t="s">
        <v>101</v>
      </c>
      <c r="AI44" s="46" t="s">
        <v>101</v>
      </c>
      <c r="AJ44" s="27" t="str">
        <f t="shared" si="1"/>
        <v>ND</v>
      </c>
      <c r="AK44" s="47" t="str">
        <f t="shared" si="2"/>
        <v/>
      </c>
      <c r="AL44" s="27" t="str">
        <f t="shared" si="3"/>
        <v>증빙 미입증</v>
      </c>
      <c r="AM44" s="48"/>
      <c r="AN44" s="48" t="s">
        <v>109</v>
      </c>
    </row>
    <row r="45" ht="61.5" customHeight="1">
      <c r="B45" s="49"/>
      <c r="C45" s="50"/>
      <c r="D45" s="50"/>
      <c r="E45" s="50"/>
      <c r="F45" s="34" t="s">
        <v>110</v>
      </c>
      <c r="G45" s="35" t="s">
        <v>340</v>
      </c>
      <c r="H45" s="51" t="s">
        <v>341</v>
      </c>
      <c r="U45" s="52"/>
      <c r="V45" s="52"/>
      <c r="W45" s="19" t="s">
        <v>117</v>
      </c>
      <c r="X45" s="6" t="s">
        <v>342</v>
      </c>
      <c r="Y45" s="43">
        <v>0.2</v>
      </c>
      <c r="Z45" s="44">
        <v>0.2</v>
      </c>
      <c r="AA45" s="6" t="s">
        <v>343</v>
      </c>
      <c r="AB45" s="6" t="s">
        <v>99</v>
      </c>
      <c r="AC45" s="52"/>
      <c r="AD45" s="46" t="s">
        <v>101</v>
      </c>
      <c r="AE45" s="46" t="s">
        <v>101</v>
      </c>
      <c r="AF45" s="46" t="s">
        <v>101</v>
      </c>
      <c r="AG45" s="46" t="s">
        <v>101</v>
      </c>
      <c r="AH45" s="46" t="s">
        <v>101</v>
      </c>
      <c r="AI45" s="46" t="s">
        <v>101</v>
      </c>
      <c r="AJ45" s="27" t="str">
        <f t="shared" si="1"/>
        <v>ND</v>
      </c>
      <c r="AK45" s="47" t="str">
        <f t="shared" si="2"/>
        <v/>
      </c>
      <c r="AL45" s="27" t="str">
        <f t="shared" si="3"/>
        <v>증빙 미입증</v>
      </c>
      <c r="AM45" s="48"/>
      <c r="AN45" s="48" t="s">
        <v>109</v>
      </c>
    </row>
    <row r="46" ht="61.5" customHeight="1">
      <c r="B46" s="49"/>
      <c r="C46" s="50"/>
      <c r="D46" s="50"/>
      <c r="E46" s="50"/>
      <c r="F46" s="34" t="s">
        <v>119</v>
      </c>
      <c r="G46" s="35" t="s">
        <v>347</v>
      </c>
      <c r="H46" s="53" t="s">
        <v>348</v>
      </c>
      <c r="U46" s="52"/>
      <c r="V46" s="52"/>
      <c r="W46" s="19" t="s">
        <v>129</v>
      </c>
      <c r="X46" s="6" t="s">
        <v>351</v>
      </c>
      <c r="Y46" s="43">
        <v>0.2</v>
      </c>
      <c r="Z46" s="44">
        <v>0.2</v>
      </c>
      <c r="AA46" s="6" t="s">
        <v>352</v>
      </c>
      <c r="AB46" s="6" t="s">
        <v>99</v>
      </c>
      <c r="AC46" s="52"/>
      <c r="AD46" s="46" t="s">
        <v>101</v>
      </c>
      <c r="AE46" s="46" t="s">
        <v>101</v>
      </c>
      <c r="AF46" s="46" t="s">
        <v>101</v>
      </c>
      <c r="AG46" s="46" t="s">
        <v>101</v>
      </c>
      <c r="AH46" s="46" t="s">
        <v>101</v>
      </c>
      <c r="AI46" s="46" t="s">
        <v>101</v>
      </c>
      <c r="AJ46" s="27" t="str">
        <f t="shared" si="1"/>
        <v>ND</v>
      </c>
      <c r="AK46" s="47" t="str">
        <f t="shared" si="2"/>
        <v/>
      </c>
      <c r="AL46" s="27" t="str">
        <f t="shared" si="3"/>
        <v>증빙 미입증</v>
      </c>
      <c r="AM46" s="48"/>
      <c r="AN46" s="48" t="s">
        <v>109</v>
      </c>
    </row>
    <row r="47" ht="61.5" customHeight="1">
      <c r="B47" s="59"/>
      <c r="C47" s="54"/>
      <c r="D47" s="54"/>
      <c r="E47" s="54"/>
      <c r="F47" s="34" t="s">
        <v>131</v>
      </c>
      <c r="G47" s="35" t="s">
        <v>356</v>
      </c>
      <c r="H47" s="55" t="s">
        <v>357</v>
      </c>
      <c r="U47" s="52"/>
      <c r="V47" s="52"/>
      <c r="W47" s="19" t="s">
        <v>140</v>
      </c>
      <c r="X47" s="6" t="s">
        <v>358</v>
      </c>
      <c r="Y47" s="43">
        <v>0.2</v>
      </c>
      <c r="Z47" s="44">
        <v>0.2</v>
      </c>
      <c r="AA47" s="6" t="s">
        <v>359</v>
      </c>
      <c r="AB47" s="6" t="s">
        <v>99</v>
      </c>
      <c r="AC47" s="52"/>
      <c r="AD47" s="46" t="s">
        <v>101</v>
      </c>
      <c r="AE47" s="46" t="s">
        <v>101</v>
      </c>
      <c r="AF47" s="46" t="s">
        <v>101</v>
      </c>
      <c r="AG47" s="46" t="s">
        <v>101</v>
      </c>
      <c r="AH47" s="46" t="s">
        <v>101</v>
      </c>
      <c r="AI47" s="46" t="s">
        <v>101</v>
      </c>
      <c r="AJ47" s="27" t="str">
        <f t="shared" si="1"/>
        <v>ND</v>
      </c>
      <c r="AK47" s="47" t="str">
        <f t="shared" si="2"/>
        <v/>
      </c>
      <c r="AL47" s="27" t="str">
        <f t="shared" si="3"/>
        <v>증빙 미입증</v>
      </c>
      <c r="AM47" s="48"/>
      <c r="AN47" s="48" t="s">
        <v>109</v>
      </c>
    </row>
    <row r="48" ht="61.5" customHeight="1">
      <c r="B48" s="60" t="s">
        <v>361</v>
      </c>
      <c r="C48" s="61"/>
      <c r="D48" s="62" t="str">
        <f>IFERROR(AVERAGE(D40:D47),"미입력")</f>
        <v>미입력</v>
      </c>
      <c r="E48" s="63" t="s">
        <v>93</v>
      </c>
      <c r="F48" s="64"/>
      <c r="G48" s="65"/>
      <c r="H48" s="66"/>
      <c r="U48" s="56"/>
      <c r="V48" s="56"/>
      <c r="W48" s="19" t="s">
        <v>152</v>
      </c>
      <c r="X48" s="6" t="s">
        <v>362</v>
      </c>
      <c r="Y48" s="43">
        <v>0.2</v>
      </c>
      <c r="Z48" s="44">
        <v>0.2</v>
      </c>
      <c r="AA48" s="6" t="s">
        <v>363</v>
      </c>
      <c r="AB48" s="6" t="s">
        <v>99</v>
      </c>
      <c r="AC48" s="56"/>
      <c r="AD48" s="46" t="s">
        <v>101</v>
      </c>
      <c r="AE48" s="46" t="s">
        <v>101</v>
      </c>
      <c r="AF48" s="46" t="s">
        <v>101</v>
      </c>
      <c r="AG48" s="46" t="s">
        <v>101</v>
      </c>
      <c r="AH48" s="46" t="s">
        <v>101</v>
      </c>
      <c r="AI48" s="46" t="s">
        <v>101</v>
      </c>
      <c r="AJ48" s="27" t="str">
        <f t="shared" si="1"/>
        <v>ND</v>
      </c>
      <c r="AK48" s="47" t="str">
        <f t="shared" si="2"/>
        <v/>
      </c>
      <c r="AL48" s="27" t="str">
        <f t="shared" si="3"/>
        <v>증빙 미입증</v>
      </c>
      <c r="AM48" s="48"/>
      <c r="AN48" s="48" t="s">
        <v>109</v>
      </c>
    </row>
    <row r="49" ht="61.5" customHeight="1">
      <c r="B49" s="28" t="s">
        <v>281</v>
      </c>
      <c r="C49" s="30" t="s">
        <v>364</v>
      </c>
      <c r="D49" s="32" t="str">
        <f>IF('질문별 결과'!$P$15="","",'질문별 결과'!$P$15)</f>
        <v/>
      </c>
      <c r="E49" s="33" t="s">
        <v>93</v>
      </c>
      <c r="F49" s="34" t="s">
        <v>94</v>
      </c>
      <c r="G49" s="35" t="s">
        <v>365</v>
      </c>
      <c r="H49" s="36" t="s">
        <v>366</v>
      </c>
      <c r="U49" s="42" t="s">
        <v>184</v>
      </c>
      <c r="V49" s="42" t="s">
        <v>185</v>
      </c>
      <c r="W49" s="19" t="s">
        <v>97</v>
      </c>
      <c r="X49" s="6" t="s">
        <v>367</v>
      </c>
      <c r="Y49" s="43">
        <v>0.2</v>
      </c>
      <c r="Z49" s="44">
        <v>0.2</v>
      </c>
      <c r="AA49" s="6" t="s">
        <v>368</v>
      </c>
      <c r="AB49" s="6" t="s">
        <v>99</v>
      </c>
      <c r="AC49" s="45" t="s">
        <v>369</v>
      </c>
      <c r="AD49" s="46" t="s">
        <v>101</v>
      </c>
      <c r="AE49" s="46" t="s">
        <v>101</v>
      </c>
      <c r="AF49" s="46" t="s">
        <v>101</v>
      </c>
      <c r="AG49" s="46" t="s">
        <v>101</v>
      </c>
      <c r="AH49" s="46" t="s">
        <v>101</v>
      </c>
      <c r="AI49" s="46" t="s">
        <v>101</v>
      </c>
      <c r="AJ49" s="27" t="str">
        <f t="shared" si="1"/>
        <v>ND</v>
      </c>
      <c r="AK49" s="47" t="str">
        <f t="shared" si="2"/>
        <v/>
      </c>
      <c r="AL49" s="27" t="str">
        <f t="shared" si="3"/>
        <v>증빙 미입증</v>
      </c>
      <c r="AM49" s="48"/>
      <c r="AN49" s="48" t="s">
        <v>109</v>
      </c>
    </row>
    <row r="50" ht="61.5" customHeight="1">
      <c r="B50" s="49"/>
      <c r="C50" s="50"/>
      <c r="D50" s="50"/>
      <c r="E50" s="50"/>
      <c r="F50" s="34" t="s">
        <v>110</v>
      </c>
      <c r="G50" s="35" t="s">
        <v>370</v>
      </c>
      <c r="H50" s="51" t="s">
        <v>371</v>
      </c>
      <c r="U50" s="52"/>
      <c r="V50" s="52"/>
      <c r="W50" s="19" t="s">
        <v>117</v>
      </c>
      <c r="X50" s="6" t="s">
        <v>372</v>
      </c>
      <c r="Y50" s="43">
        <v>0.2</v>
      </c>
      <c r="Z50" s="44">
        <v>0.2</v>
      </c>
      <c r="AA50" s="6" t="s">
        <v>373</v>
      </c>
      <c r="AB50" s="6" t="s">
        <v>99</v>
      </c>
      <c r="AC50" s="52"/>
      <c r="AD50" s="46" t="s">
        <v>101</v>
      </c>
      <c r="AE50" s="46" t="s">
        <v>101</v>
      </c>
      <c r="AF50" s="46" t="s">
        <v>101</v>
      </c>
      <c r="AG50" s="46" t="s">
        <v>101</v>
      </c>
      <c r="AH50" s="46" t="s">
        <v>101</v>
      </c>
      <c r="AI50" s="46" t="s">
        <v>101</v>
      </c>
      <c r="AJ50" s="27" t="str">
        <f t="shared" si="1"/>
        <v>ND</v>
      </c>
      <c r="AK50" s="47" t="str">
        <f t="shared" si="2"/>
        <v/>
      </c>
      <c r="AL50" s="27" t="str">
        <f t="shared" si="3"/>
        <v>증빙 미입증</v>
      </c>
      <c r="AM50" s="48"/>
      <c r="AN50" s="48" t="s">
        <v>109</v>
      </c>
    </row>
    <row r="51" ht="61.5" customHeight="1">
      <c r="B51" s="49"/>
      <c r="C51" s="50"/>
      <c r="D51" s="50"/>
      <c r="E51" s="50"/>
      <c r="F51" s="34" t="s">
        <v>119</v>
      </c>
      <c r="G51" s="35" t="s">
        <v>374</v>
      </c>
      <c r="H51" s="53" t="s">
        <v>375</v>
      </c>
      <c r="U51" s="52"/>
      <c r="V51" s="52"/>
      <c r="W51" s="19" t="s">
        <v>129</v>
      </c>
      <c r="X51" s="6" t="s">
        <v>376</v>
      </c>
      <c r="Y51" s="43">
        <v>0.2</v>
      </c>
      <c r="Z51" s="44">
        <v>0.2</v>
      </c>
      <c r="AA51" s="6" t="s">
        <v>377</v>
      </c>
      <c r="AB51" s="6" t="s">
        <v>99</v>
      </c>
      <c r="AC51" s="52"/>
      <c r="AD51" s="46" t="s">
        <v>101</v>
      </c>
      <c r="AE51" s="46" t="s">
        <v>101</v>
      </c>
      <c r="AF51" s="46" t="s">
        <v>101</v>
      </c>
      <c r="AG51" s="46" t="s">
        <v>101</v>
      </c>
      <c r="AH51" s="46" t="s">
        <v>101</v>
      </c>
      <c r="AI51" s="46" t="s">
        <v>101</v>
      </c>
      <c r="AJ51" s="27" t="str">
        <f t="shared" si="1"/>
        <v>ND</v>
      </c>
      <c r="AK51" s="47" t="str">
        <f t="shared" si="2"/>
        <v/>
      </c>
      <c r="AL51" s="27" t="str">
        <f t="shared" si="3"/>
        <v>증빙 미입증</v>
      </c>
      <c r="AM51" s="48"/>
      <c r="AN51" s="48" t="s">
        <v>109</v>
      </c>
    </row>
    <row r="52" ht="61.5" customHeight="1">
      <c r="B52" s="49"/>
      <c r="C52" s="54"/>
      <c r="D52" s="54"/>
      <c r="E52" s="54"/>
      <c r="F52" s="34" t="s">
        <v>131</v>
      </c>
      <c r="G52" s="35" t="s">
        <v>378</v>
      </c>
      <c r="H52" s="55" t="s">
        <v>379</v>
      </c>
      <c r="U52" s="52"/>
      <c r="V52" s="52"/>
      <c r="W52" s="19" t="s">
        <v>140</v>
      </c>
      <c r="X52" s="6" t="s">
        <v>380</v>
      </c>
      <c r="Y52" s="43">
        <v>0.2</v>
      </c>
      <c r="Z52" s="44">
        <v>0.2</v>
      </c>
      <c r="AA52" s="6" t="s">
        <v>381</v>
      </c>
      <c r="AB52" s="6" t="s">
        <v>99</v>
      </c>
      <c r="AC52" s="52"/>
      <c r="AD52" s="46" t="s">
        <v>101</v>
      </c>
      <c r="AE52" s="46" t="s">
        <v>101</v>
      </c>
      <c r="AF52" s="46" t="s">
        <v>101</v>
      </c>
      <c r="AG52" s="46" t="s">
        <v>101</v>
      </c>
      <c r="AH52" s="46" t="s">
        <v>101</v>
      </c>
      <c r="AI52" s="46" t="s">
        <v>101</v>
      </c>
      <c r="AJ52" s="27" t="str">
        <f t="shared" si="1"/>
        <v>ND</v>
      </c>
      <c r="AK52" s="47" t="str">
        <f t="shared" si="2"/>
        <v/>
      </c>
      <c r="AL52" s="27" t="str">
        <f t="shared" si="3"/>
        <v>증빙 미입증</v>
      </c>
      <c r="AM52" s="48"/>
      <c r="AN52" s="48" t="s">
        <v>109</v>
      </c>
    </row>
    <row r="53" ht="61.5" customHeight="1">
      <c r="B53" s="49"/>
      <c r="C53" s="30" t="s">
        <v>400</v>
      </c>
      <c r="D53" s="32" t="str">
        <f>IF('질문별 결과'!$P$16="","",'질문별 결과'!$P$16)</f>
        <v/>
      </c>
      <c r="E53" s="33" t="s">
        <v>93</v>
      </c>
      <c r="F53" s="34" t="s">
        <v>94</v>
      </c>
      <c r="G53" s="69" t="s">
        <v>403</v>
      </c>
      <c r="H53" s="36" t="s">
        <v>405</v>
      </c>
      <c r="U53" s="56"/>
      <c r="V53" s="56"/>
      <c r="W53" s="19" t="s">
        <v>152</v>
      </c>
      <c r="X53" s="6" t="s">
        <v>408</v>
      </c>
      <c r="Y53" s="43">
        <v>0.2</v>
      </c>
      <c r="Z53" s="44">
        <v>0.2</v>
      </c>
      <c r="AA53" s="6" t="s">
        <v>409</v>
      </c>
      <c r="AB53" s="6" t="s">
        <v>99</v>
      </c>
      <c r="AC53" s="56"/>
      <c r="AD53" s="46" t="s">
        <v>101</v>
      </c>
      <c r="AE53" s="46" t="s">
        <v>101</v>
      </c>
      <c r="AF53" s="46" t="s">
        <v>101</v>
      </c>
      <c r="AG53" s="46" t="s">
        <v>101</v>
      </c>
      <c r="AH53" s="46" t="s">
        <v>101</v>
      </c>
      <c r="AI53" s="46" t="s">
        <v>101</v>
      </c>
      <c r="AJ53" s="27" t="str">
        <f t="shared" si="1"/>
        <v>ND</v>
      </c>
      <c r="AK53" s="47" t="str">
        <f t="shared" si="2"/>
        <v/>
      </c>
      <c r="AL53" s="27" t="str">
        <f t="shared" si="3"/>
        <v>증빙 미입증</v>
      </c>
      <c r="AM53" s="48"/>
      <c r="AN53" s="48" t="s">
        <v>109</v>
      </c>
    </row>
    <row r="54" ht="61.5" customHeight="1">
      <c r="B54" s="49"/>
      <c r="C54" s="50"/>
      <c r="D54" s="50"/>
      <c r="E54" s="50"/>
      <c r="F54" s="34" t="s">
        <v>110</v>
      </c>
      <c r="G54" s="35" t="s">
        <v>415</v>
      </c>
      <c r="H54" s="51" t="s">
        <v>416</v>
      </c>
      <c r="U54" s="57" t="s">
        <v>197</v>
      </c>
      <c r="V54" s="57" t="s">
        <v>198</v>
      </c>
      <c r="W54" s="19" t="s">
        <v>97</v>
      </c>
      <c r="X54" s="6" t="s">
        <v>418</v>
      </c>
      <c r="Y54" s="43">
        <v>0.2</v>
      </c>
      <c r="Z54" s="44">
        <v>0.2</v>
      </c>
      <c r="AA54" s="6" t="s">
        <v>422</v>
      </c>
      <c r="AB54" s="6" t="s">
        <v>99</v>
      </c>
      <c r="AC54" s="58" t="s">
        <v>423</v>
      </c>
      <c r="AD54" s="46" t="s">
        <v>101</v>
      </c>
      <c r="AE54" s="46" t="s">
        <v>101</v>
      </c>
      <c r="AF54" s="46" t="s">
        <v>101</v>
      </c>
      <c r="AG54" s="46" t="s">
        <v>101</v>
      </c>
      <c r="AH54" s="46" t="s">
        <v>101</v>
      </c>
      <c r="AI54" s="46" t="s">
        <v>101</v>
      </c>
      <c r="AJ54" s="27" t="str">
        <f t="shared" si="1"/>
        <v>ND</v>
      </c>
      <c r="AK54" s="47" t="str">
        <f t="shared" si="2"/>
        <v/>
      </c>
      <c r="AL54" s="27" t="str">
        <f t="shared" si="3"/>
        <v>증빙 미입증</v>
      </c>
      <c r="AM54" s="48"/>
      <c r="AN54" s="48" t="s">
        <v>109</v>
      </c>
    </row>
    <row r="55" ht="61.5" customHeight="1">
      <c r="B55" s="49"/>
      <c r="C55" s="50"/>
      <c r="D55" s="50"/>
      <c r="E55" s="50"/>
      <c r="F55" s="34" t="s">
        <v>119</v>
      </c>
      <c r="G55" s="35" t="s">
        <v>426</v>
      </c>
      <c r="H55" s="53" t="s">
        <v>427</v>
      </c>
      <c r="U55" s="52"/>
      <c r="V55" s="52"/>
      <c r="W55" s="19" t="s">
        <v>117</v>
      </c>
      <c r="X55" s="6" t="s">
        <v>429</v>
      </c>
      <c r="Y55" s="43">
        <v>0.2</v>
      </c>
      <c r="Z55" s="44">
        <v>0.2</v>
      </c>
      <c r="AA55" s="6" t="s">
        <v>430</v>
      </c>
      <c r="AB55" s="6" t="s">
        <v>99</v>
      </c>
      <c r="AC55" s="52"/>
      <c r="AD55" s="46" t="s">
        <v>101</v>
      </c>
      <c r="AE55" s="46" t="s">
        <v>101</v>
      </c>
      <c r="AF55" s="46" t="s">
        <v>101</v>
      </c>
      <c r="AG55" s="46" t="s">
        <v>101</v>
      </c>
      <c r="AH55" s="46" t="s">
        <v>101</v>
      </c>
      <c r="AI55" s="46" t="s">
        <v>101</v>
      </c>
      <c r="AJ55" s="27" t="str">
        <f t="shared" si="1"/>
        <v>ND</v>
      </c>
      <c r="AK55" s="47" t="str">
        <f t="shared" si="2"/>
        <v/>
      </c>
      <c r="AL55" s="27" t="str">
        <f t="shared" si="3"/>
        <v>증빙 미입증</v>
      </c>
      <c r="AM55" s="48"/>
      <c r="AN55" s="48" t="s">
        <v>109</v>
      </c>
    </row>
    <row r="56" ht="61.5" customHeight="1">
      <c r="B56" s="59"/>
      <c r="C56" s="54"/>
      <c r="D56" s="54"/>
      <c r="E56" s="54"/>
      <c r="F56" s="34" t="s">
        <v>131</v>
      </c>
      <c r="G56" s="35" t="s">
        <v>433</v>
      </c>
      <c r="H56" s="55" t="s">
        <v>435</v>
      </c>
      <c r="U56" s="52"/>
      <c r="V56" s="52"/>
      <c r="W56" s="19" t="s">
        <v>129</v>
      </c>
      <c r="X56" s="6" t="s">
        <v>436</v>
      </c>
      <c r="Y56" s="43">
        <v>0.2</v>
      </c>
      <c r="Z56" s="44">
        <v>0.2</v>
      </c>
      <c r="AA56" s="6" t="s">
        <v>437</v>
      </c>
      <c r="AB56" s="6" t="s">
        <v>99</v>
      </c>
      <c r="AC56" s="52"/>
      <c r="AD56" s="46" t="s">
        <v>101</v>
      </c>
      <c r="AE56" s="46" t="s">
        <v>101</v>
      </c>
      <c r="AF56" s="46" t="s">
        <v>101</v>
      </c>
      <c r="AG56" s="46" t="s">
        <v>101</v>
      </c>
      <c r="AH56" s="46" t="s">
        <v>101</v>
      </c>
      <c r="AI56" s="46" t="s">
        <v>101</v>
      </c>
      <c r="AJ56" s="27" t="str">
        <f t="shared" si="1"/>
        <v>ND</v>
      </c>
      <c r="AK56" s="47" t="str">
        <f t="shared" si="2"/>
        <v/>
      </c>
      <c r="AL56" s="27" t="str">
        <f t="shared" si="3"/>
        <v>증빙 미입증</v>
      </c>
      <c r="AM56" s="48"/>
      <c r="AN56" s="48" t="s">
        <v>109</v>
      </c>
    </row>
    <row r="57" ht="61.5" customHeight="1">
      <c r="B57" s="60" t="s">
        <v>440</v>
      </c>
      <c r="C57" s="61"/>
      <c r="D57" s="62" t="str">
        <f>IFERROR(AVERAGE(D49:D56),"미입력")</f>
        <v>미입력</v>
      </c>
      <c r="E57" s="63" t="s">
        <v>93</v>
      </c>
      <c r="F57" s="64"/>
      <c r="G57" s="65"/>
      <c r="H57" s="66"/>
      <c r="U57" s="52"/>
      <c r="V57" s="52"/>
      <c r="W57" s="19" t="s">
        <v>140</v>
      </c>
      <c r="X57" s="6" t="s">
        <v>442</v>
      </c>
      <c r="Y57" s="43">
        <v>0.2</v>
      </c>
      <c r="Z57" s="44">
        <v>0.2</v>
      </c>
      <c r="AA57" s="6" t="s">
        <v>443</v>
      </c>
      <c r="AB57" s="6" t="s">
        <v>99</v>
      </c>
      <c r="AC57" s="52"/>
      <c r="AD57" s="46" t="s">
        <v>101</v>
      </c>
      <c r="AE57" s="46" t="s">
        <v>101</v>
      </c>
      <c r="AF57" s="46" t="s">
        <v>101</v>
      </c>
      <c r="AG57" s="46" t="s">
        <v>101</v>
      </c>
      <c r="AH57" s="46" t="s">
        <v>101</v>
      </c>
      <c r="AI57" s="46" t="s">
        <v>101</v>
      </c>
      <c r="AJ57" s="27" t="str">
        <f t="shared" si="1"/>
        <v>ND</v>
      </c>
      <c r="AK57" s="47" t="str">
        <f t="shared" si="2"/>
        <v/>
      </c>
      <c r="AL57" s="27" t="str">
        <f t="shared" si="3"/>
        <v>증빙 미입증</v>
      </c>
      <c r="AM57" s="48"/>
      <c r="AN57" s="48" t="s">
        <v>109</v>
      </c>
    </row>
    <row r="58" ht="61.5" customHeight="1">
      <c r="A58" s="76"/>
      <c r="B58" s="77" t="s">
        <v>387</v>
      </c>
      <c r="C58" s="78"/>
      <c r="D58" s="79">
        <f>IFERROR(D17+D26+D39+D48+D57, 0)</f>
        <v>0</v>
      </c>
      <c r="E58" s="80" t="s">
        <v>388</v>
      </c>
      <c r="F58" s="79"/>
      <c r="G58" s="82"/>
      <c r="H58" s="76"/>
      <c r="I58" s="76"/>
      <c r="J58" s="76"/>
      <c r="K58" s="76"/>
      <c r="L58" s="76"/>
      <c r="M58" s="76"/>
      <c r="N58" s="76"/>
      <c r="O58" s="76"/>
      <c r="P58" s="76"/>
      <c r="Q58" s="76"/>
      <c r="R58" s="76"/>
      <c r="S58" s="76"/>
      <c r="T58" s="76"/>
      <c r="U58" s="56"/>
      <c r="V58" s="56"/>
      <c r="W58" s="19" t="s">
        <v>152</v>
      </c>
      <c r="X58" s="19" t="s">
        <v>531</v>
      </c>
      <c r="Y58" s="43">
        <v>0.2</v>
      </c>
      <c r="Z58" s="44">
        <v>0.2</v>
      </c>
      <c r="AA58" s="6" t="s">
        <v>535</v>
      </c>
      <c r="AB58" s="6" t="s">
        <v>99</v>
      </c>
      <c r="AC58" s="56"/>
      <c r="AD58" s="46" t="s">
        <v>101</v>
      </c>
      <c r="AE58" s="46" t="s">
        <v>101</v>
      </c>
      <c r="AF58" s="46" t="s">
        <v>101</v>
      </c>
      <c r="AG58" s="46" t="s">
        <v>101</v>
      </c>
      <c r="AH58" s="46" t="s">
        <v>101</v>
      </c>
      <c r="AI58" s="46" t="s">
        <v>101</v>
      </c>
      <c r="AJ58" s="27" t="str">
        <f t="shared" si="1"/>
        <v>ND</v>
      </c>
      <c r="AK58" s="47" t="str">
        <f t="shared" si="2"/>
        <v/>
      </c>
      <c r="AL58" s="27" t="str">
        <f t="shared" si="3"/>
        <v>증빙 미입증</v>
      </c>
      <c r="AM58" s="48"/>
      <c r="AN58" s="48" t="s">
        <v>109</v>
      </c>
    </row>
    <row r="59" ht="61.5" customHeight="1">
      <c r="B59" s="86"/>
      <c r="C59" s="87"/>
      <c r="D59" s="88" t="str">
        <f>IF(D58&gt;=18,"매우성공적",IF(D58&gt;=14,"성공적",IF(D58&gt;=10,"부분성공적","미흡")))</f>
        <v>미흡</v>
      </c>
      <c r="E59" s="89"/>
      <c r="F59" s="90"/>
      <c r="G59" s="91"/>
      <c r="U59" s="42" t="s">
        <v>202</v>
      </c>
      <c r="V59" s="42" t="s">
        <v>203</v>
      </c>
      <c r="W59" s="19" t="s">
        <v>97</v>
      </c>
      <c r="X59" s="6" t="s">
        <v>568</v>
      </c>
      <c r="Y59" s="43">
        <v>0.2</v>
      </c>
      <c r="Z59" s="44">
        <v>0.2</v>
      </c>
      <c r="AA59" s="6" t="s">
        <v>569</v>
      </c>
      <c r="AB59" s="6" t="s">
        <v>99</v>
      </c>
      <c r="AC59" s="45" t="s">
        <v>571</v>
      </c>
      <c r="AD59" s="46" t="s">
        <v>101</v>
      </c>
      <c r="AE59" s="46" t="s">
        <v>101</v>
      </c>
      <c r="AF59" s="46" t="s">
        <v>101</v>
      </c>
      <c r="AG59" s="46" t="s">
        <v>101</v>
      </c>
      <c r="AH59" s="46" t="s">
        <v>101</v>
      </c>
      <c r="AI59" s="46" t="s">
        <v>101</v>
      </c>
      <c r="AJ59" s="27" t="str">
        <f t="shared" si="1"/>
        <v>ND</v>
      </c>
      <c r="AK59" s="47" t="str">
        <f t="shared" si="2"/>
        <v/>
      </c>
      <c r="AL59" s="27" t="str">
        <f t="shared" si="3"/>
        <v>증빙 미입증</v>
      </c>
      <c r="AM59" s="48"/>
      <c r="AN59" s="48" t="s">
        <v>109</v>
      </c>
    </row>
    <row r="60" ht="61.5" customHeight="1">
      <c r="F60" s="5"/>
      <c r="U60" s="52"/>
      <c r="V60" s="52"/>
      <c r="W60" s="19" t="s">
        <v>117</v>
      </c>
      <c r="X60" s="6" t="s">
        <v>577</v>
      </c>
      <c r="Y60" s="43">
        <v>0.2</v>
      </c>
      <c r="Z60" s="44">
        <v>0.2</v>
      </c>
      <c r="AA60" s="6" t="s">
        <v>578</v>
      </c>
      <c r="AB60" s="6" t="s">
        <v>99</v>
      </c>
      <c r="AC60" s="52"/>
      <c r="AD60" s="46" t="s">
        <v>101</v>
      </c>
      <c r="AE60" s="46" t="s">
        <v>101</v>
      </c>
      <c r="AF60" s="46" t="s">
        <v>101</v>
      </c>
      <c r="AG60" s="46" t="s">
        <v>101</v>
      </c>
      <c r="AH60" s="46" t="s">
        <v>101</v>
      </c>
      <c r="AI60" s="46" t="s">
        <v>101</v>
      </c>
      <c r="AJ60" s="27" t="str">
        <f t="shared" si="1"/>
        <v>ND</v>
      </c>
      <c r="AK60" s="47" t="str">
        <f t="shared" si="2"/>
        <v/>
      </c>
      <c r="AL60" s="27" t="str">
        <f t="shared" si="3"/>
        <v>증빙 미입증</v>
      </c>
      <c r="AM60" s="48"/>
      <c r="AN60" s="48" t="s">
        <v>109</v>
      </c>
    </row>
    <row r="61" ht="61.5" customHeight="1">
      <c r="F61" s="5"/>
      <c r="U61" s="52"/>
      <c r="V61" s="52"/>
      <c r="W61" s="19" t="s">
        <v>129</v>
      </c>
      <c r="X61" s="6" t="s">
        <v>579</v>
      </c>
      <c r="Y61" s="43">
        <v>0.2</v>
      </c>
      <c r="Z61" s="44">
        <v>0.2</v>
      </c>
      <c r="AA61" s="6" t="s">
        <v>580</v>
      </c>
      <c r="AB61" s="6" t="s">
        <v>99</v>
      </c>
      <c r="AC61" s="52"/>
      <c r="AD61" s="46" t="s">
        <v>101</v>
      </c>
      <c r="AE61" s="46" t="s">
        <v>101</v>
      </c>
      <c r="AF61" s="46" t="s">
        <v>101</v>
      </c>
      <c r="AG61" s="46" t="s">
        <v>101</v>
      </c>
      <c r="AH61" s="46" t="s">
        <v>101</v>
      </c>
      <c r="AI61" s="46" t="s">
        <v>101</v>
      </c>
      <c r="AJ61" s="27" t="str">
        <f t="shared" si="1"/>
        <v>ND</v>
      </c>
      <c r="AK61" s="47" t="str">
        <f t="shared" si="2"/>
        <v/>
      </c>
      <c r="AL61" s="27" t="str">
        <f t="shared" si="3"/>
        <v>증빙 미입증</v>
      </c>
      <c r="AM61" s="48"/>
      <c r="AN61" s="48" t="s">
        <v>109</v>
      </c>
    </row>
    <row r="62" ht="61.5" customHeight="1">
      <c r="F62" s="5"/>
      <c r="U62" s="52"/>
      <c r="V62" s="52"/>
      <c r="W62" s="19" t="s">
        <v>140</v>
      </c>
      <c r="X62" s="6" t="s">
        <v>582</v>
      </c>
      <c r="Y62" s="43">
        <v>0.2</v>
      </c>
      <c r="Z62" s="44">
        <v>0.2</v>
      </c>
      <c r="AA62" s="6" t="s">
        <v>584</v>
      </c>
      <c r="AB62" s="6" t="s">
        <v>99</v>
      </c>
      <c r="AC62" s="52"/>
      <c r="AD62" s="46" t="s">
        <v>101</v>
      </c>
      <c r="AE62" s="46" t="s">
        <v>101</v>
      </c>
      <c r="AF62" s="46" t="s">
        <v>101</v>
      </c>
      <c r="AG62" s="46" t="s">
        <v>101</v>
      </c>
      <c r="AH62" s="46" t="s">
        <v>101</v>
      </c>
      <c r="AI62" s="46" t="s">
        <v>101</v>
      </c>
      <c r="AJ62" s="27" t="str">
        <f t="shared" si="1"/>
        <v>ND</v>
      </c>
      <c r="AK62" s="47" t="str">
        <f t="shared" si="2"/>
        <v/>
      </c>
      <c r="AL62" s="27" t="str">
        <f t="shared" si="3"/>
        <v>증빙 미입증</v>
      </c>
      <c r="AM62" s="48"/>
      <c r="AN62" s="48" t="s">
        <v>109</v>
      </c>
    </row>
    <row r="63" ht="61.5" customHeight="1">
      <c r="F63" s="5"/>
      <c r="U63" s="56"/>
      <c r="V63" s="56"/>
      <c r="W63" s="19" t="s">
        <v>152</v>
      </c>
      <c r="X63" s="6" t="s">
        <v>587</v>
      </c>
      <c r="Y63" s="43">
        <v>0.2</v>
      </c>
      <c r="Z63" s="44">
        <v>0.2</v>
      </c>
      <c r="AA63" s="6" t="s">
        <v>588</v>
      </c>
      <c r="AB63" s="6" t="s">
        <v>99</v>
      </c>
      <c r="AC63" s="56"/>
      <c r="AD63" s="46" t="s">
        <v>101</v>
      </c>
      <c r="AE63" s="46" t="s">
        <v>101</v>
      </c>
      <c r="AF63" s="46" t="s">
        <v>101</v>
      </c>
      <c r="AG63" s="46" t="s">
        <v>101</v>
      </c>
      <c r="AH63" s="46" t="s">
        <v>101</v>
      </c>
      <c r="AI63" s="46" t="s">
        <v>101</v>
      </c>
      <c r="AJ63" s="27" t="str">
        <f t="shared" si="1"/>
        <v>ND</v>
      </c>
      <c r="AK63" s="47" t="str">
        <f t="shared" si="2"/>
        <v/>
      </c>
      <c r="AL63" s="27" t="str">
        <f t="shared" si="3"/>
        <v>증빙 미입증</v>
      </c>
      <c r="AM63" s="48"/>
      <c r="AN63" s="48" t="s">
        <v>109</v>
      </c>
    </row>
    <row r="64" ht="16.5" customHeight="1">
      <c r="F64" s="5"/>
    </row>
    <row r="65" ht="16.5" customHeight="1">
      <c r="F65" s="5"/>
    </row>
    <row r="66" ht="16.5" customHeight="1">
      <c r="F66" s="5"/>
    </row>
    <row r="67" ht="16.5" customHeight="1">
      <c r="F67" s="5"/>
    </row>
    <row r="68" ht="16.5" customHeight="1">
      <c r="F68" s="5"/>
    </row>
    <row r="69" ht="16.5" customHeight="1">
      <c r="F69" s="5"/>
    </row>
    <row r="70" ht="16.5" customHeight="1">
      <c r="F70" s="5"/>
    </row>
    <row r="71" ht="16.5" customHeight="1">
      <c r="F71" s="5"/>
    </row>
    <row r="72" ht="16.5" customHeight="1">
      <c r="F72" s="5"/>
    </row>
    <row r="73" ht="16.5" customHeight="1">
      <c r="F73" s="5"/>
    </row>
    <row r="74" ht="16.5" customHeight="1">
      <c r="F74" s="5"/>
    </row>
    <row r="75" ht="16.5" customHeight="1">
      <c r="F75" s="5"/>
    </row>
    <row r="76" ht="16.5" customHeight="1">
      <c r="F76" s="5"/>
    </row>
    <row r="77" ht="16.5" customHeight="1">
      <c r="F77" s="5"/>
    </row>
    <row r="78" ht="16.5" customHeight="1">
      <c r="F78" s="5"/>
    </row>
    <row r="79" ht="16.5" customHeight="1">
      <c r="F79" s="5"/>
    </row>
    <row r="80" ht="16.5" customHeight="1">
      <c r="F80" s="5"/>
    </row>
    <row r="81" ht="16.5" customHeight="1">
      <c r="F81" s="5"/>
    </row>
    <row r="82" ht="16.5" customHeight="1">
      <c r="F82" s="5"/>
    </row>
    <row r="83" ht="16.5" customHeight="1">
      <c r="F83" s="5"/>
    </row>
    <row r="84" ht="16.5" customHeight="1">
      <c r="F84" s="5"/>
    </row>
    <row r="85" ht="16.5" customHeight="1">
      <c r="F85" s="5"/>
    </row>
    <row r="86" ht="16.5" customHeight="1">
      <c r="F86" s="5"/>
    </row>
    <row r="87" ht="16.5" customHeight="1">
      <c r="F87" s="5"/>
    </row>
    <row r="88" ht="16.5" customHeight="1">
      <c r="F88" s="5"/>
    </row>
    <row r="89" ht="16.5" customHeight="1">
      <c r="F89" s="5"/>
    </row>
    <row r="90" ht="16.5" customHeight="1">
      <c r="F90" s="5"/>
    </row>
    <row r="91" ht="16.5" customHeight="1">
      <c r="F91" s="5"/>
    </row>
    <row r="92" ht="16.5" customHeight="1">
      <c r="F92" s="5"/>
    </row>
    <row r="93" ht="16.5" customHeight="1">
      <c r="F93" s="5"/>
    </row>
    <row r="94" ht="16.5" customHeight="1">
      <c r="F94" s="5"/>
    </row>
    <row r="95" ht="16.5" customHeight="1">
      <c r="F95" s="5"/>
    </row>
    <row r="96" ht="16.5" customHeight="1">
      <c r="F96" s="5"/>
    </row>
    <row r="97" ht="16.5" customHeight="1">
      <c r="F97" s="5"/>
    </row>
    <row r="98" ht="16.5" customHeight="1">
      <c r="F98" s="5"/>
    </row>
    <row r="99" ht="16.5" customHeight="1">
      <c r="F99" s="5"/>
    </row>
    <row r="100" ht="16.5" customHeight="1">
      <c r="F100" s="5"/>
    </row>
    <row r="101" ht="16.5" customHeight="1">
      <c r="F101" s="5"/>
    </row>
    <row r="102" ht="16.5" customHeight="1">
      <c r="F102" s="5"/>
    </row>
    <row r="103" ht="16.5" customHeight="1">
      <c r="F103" s="5"/>
    </row>
    <row r="104" ht="16.5" customHeight="1">
      <c r="F104" s="5"/>
    </row>
    <row r="105" ht="16.5" customHeight="1">
      <c r="F105" s="5"/>
    </row>
    <row r="106" ht="16.5" customHeight="1">
      <c r="F106" s="5"/>
    </row>
    <row r="107" ht="16.5" customHeight="1">
      <c r="F107" s="5"/>
    </row>
    <row r="108" ht="16.5" customHeight="1">
      <c r="F108" s="5"/>
    </row>
    <row r="109" ht="16.5" customHeight="1">
      <c r="F109" s="5"/>
    </row>
    <row r="110" ht="16.5" customHeight="1">
      <c r="F110" s="5"/>
    </row>
    <row r="111" ht="16.5" customHeight="1">
      <c r="F111" s="5"/>
    </row>
    <row r="112" ht="16.5" customHeight="1">
      <c r="F112" s="5"/>
    </row>
    <row r="113" ht="16.5" customHeight="1">
      <c r="F113" s="5"/>
    </row>
    <row r="114" ht="16.5" customHeight="1">
      <c r="F114" s="5"/>
    </row>
    <row r="115" ht="16.5" customHeight="1">
      <c r="F115" s="5"/>
    </row>
    <row r="116" ht="16.5" customHeight="1">
      <c r="F116" s="5"/>
    </row>
    <row r="117" ht="16.5" customHeight="1">
      <c r="F117" s="5"/>
    </row>
    <row r="118" ht="16.5" customHeight="1">
      <c r="F118" s="5"/>
    </row>
    <row r="119" ht="16.5" customHeight="1">
      <c r="F119" s="5"/>
    </row>
    <row r="120" ht="16.5" customHeight="1">
      <c r="F120" s="5"/>
    </row>
    <row r="121" ht="16.5" customHeight="1">
      <c r="F121" s="5"/>
    </row>
    <row r="122" ht="16.5" customHeight="1">
      <c r="F122" s="5"/>
    </row>
    <row r="123" ht="16.5" customHeight="1">
      <c r="F123" s="5"/>
    </row>
    <row r="124" ht="16.5" customHeight="1">
      <c r="F124" s="5"/>
    </row>
    <row r="125" ht="16.5" customHeight="1">
      <c r="F125" s="5"/>
    </row>
    <row r="126" ht="16.5" customHeight="1">
      <c r="F126" s="5"/>
    </row>
    <row r="127" ht="16.5" customHeight="1">
      <c r="F127" s="5"/>
    </row>
    <row r="128" ht="16.5" customHeight="1">
      <c r="F128" s="5"/>
    </row>
    <row r="129" ht="16.5" customHeight="1">
      <c r="F129" s="5"/>
    </row>
    <row r="130" ht="16.5" customHeight="1">
      <c r="F130" s="5"/>
    </row>
    <row r="131" ht="16.5" customHeight="1">
      <c r="F131" s="5"/>
    </row>
    <row r="132" ht="16.5" customHeight="1">
      <c r="F132" s="5"/>
    </row>
    <row r="133" ht="16.5" customHeight="1">
      <c r="F133" s="5"/>
    </row>
    <row r="134" ht="16.5" customHeight="1">
      <c r="F134" s="5"/>
    </row>
    <row r="135" ht="16.5" customHeight="1">
      <c r="F135" s="5"/>
    </row>
    <row r="136" ht="16.5" customHeight="1">
      <c r="F136" s="5"/>
    </row>
    <row r="137" ht="16.5" customHeight="1">
      <c r="F137" s="5"/>
    </row>
    <row r="138" ht="16.5" customHeight="1">
      <c r="F138" s="5"/>
    </row>
    <row r="139" ht="16.5" customHeight="1">
      <c r="F139" s="5"/>
    </row>
    <row r="140" ht="16.5" customHeight="1">
      <c r="F140" s="5"/>
    </row>
    <row r="141" ht="16.5" customHeight="1">
      <c r="F141" s="5"/>
    </row>
    <row r="142" ht="16.5" customHeight="1">
      <c r="F142" s="5"/>
    </row>
    <row r="143" ht="16.5" customHeight="1">
      <c r="F143" s="5"/>
    </row>
    <row r="144" ht="16.5" customHeight="1">
      <c r="F144" s="5"/>
    </row>
    <row r="145" ht="16.5" customHeight="1">
      <c r="F145" s="5"/>
    </row>
    <row r="146" ht="16.5" customHeight="1">
      <c r="F146" s="5"/>
    </row>
    <row r="147" ht="16.5" customHeight="1">
      <c r="F147" s="5"/>
    </row>
    <row r="148" ht="16.5" customHeight="1">
      <c r="F148" s="5"/>
    </row>
    <row r="149" ht="16.5" customHeight="1">
      <c r="F149" s="5"/>
    </row>
    <row r="150" ht="16.5" customHeight="1">
      <c r="F150" s="5"/>
    </row>
    <row r="151" ht="16.5" customHeight="1">
      <c r="F151" s="5"/>
    </row>
    <row r="152" ht="16.5" customHeight="1">
      <c r="F152" s="5"/>
    </row>
    <row r="153" ht="16.5" customHeight="1">
      <c r="F153" s="5"/>
    </row>
    <row r="154" ht="16.5" customHeight="1">
      <c r="F154" s="5"/>
    </row>
    <row r="155" ht="16.5" customHeight="1">
      <c r="F155" s="5"/>
    </row>
    <row r="156" ht="16.5" customHeight="1">
      <c r="F156" s="5"/>
    </row>
    <row r="157" ht="16.5" customHeight="1">
      <c r="F157" s="5"/>
    </row>
    <row r="158" ht="16.5" customHeight="1">
      <c r="F158" s="5"/>
    </row>
    <row r="159" ht="16.5" customHeight="1">
      <c r="F159" s="5"/>
    </row>
    <row r="160" ht="16.5" customHeight="1">
      <c r="F160" s="5"/>
    </row>
    <row r="161" ht="16.5" customHeight="1">
      <c r="F161" s="5"/>
    </row>
    <row r="162" ht="16.5" customHeight="1">
      <c r="F162" s="5"/>
    </row>
    <row r="163" ht="16.5" customHeight="1">
      <c r="F163" s="5"/>
    </row>
    <row r="164" ht="16.5" customHeight="1">
      <c r="F164" s="5"/>
    </row>
    <row r="165" ht="16.5" customHeight="1">
      <c r="F165" s="5"/>
    </row>
    <row r="166" ht="16.5" customHeight="1">
      <c r="F166" s="5"/>
    </row>
    <row r="167" ht="16.5" customHeight="1">
      <c r="F167" s="5"/>
    </row>
    <row r="168" ht="16.5" customHeight="1">
      <c r="F168" s="5"/>
    </row>
    <row r="169" ht="16.5" customHeight="1">
      <c r="F169" s="5"/>
    </row>
    <row r="170" ht="16.5" customHeight="1">
      <c r="F170" s="5"/>
    </row>
    <row r="171" ht="16.5" customHeight="1">
      <c r="F171" s="5"/>
    </row>
    <row r="172" ht="16.5" customHeight="1">
      <c r="F172" s="5"/>
    </row>
    <row r="173" ht="16.5" customHeight="1">
      <c r="F173" s="5"/>
    </row>
    <row r="174" ht="16.5" customHeight="1">
      <c r="F174" s="5"/>
    </row>
    <row r="175" ht="16.5" customHeight="1">
      <c r="F175" s="5"/>
    </row>
    <row r="176" ht="16.5" customHeight="1">
      <c r="F176" s="5"/>
    </row>
    <row r="177" ht="16.5" customHeight="1">
      <c r="F177" s="5"/>
    </row>
    <row r="178" ht="16.5" customHeight="1">
      <c r="F178" s="5"/>
    </row>
    <row r="179" ht="16.5" customHeight="1">
      <c r="F179" s="5"/>
    </row>
    <row r="180" ht="16.5" customHeight="1">
      <c r="F180" s="5"/>
    </row>
    <row r="181" ht="16.5" customHeight="1">
      <c r="F181" s="5"/>
    </row>
    <row r="182" ht="16.5" customHeight="1">
      <c r="F182" s="5"/>
    </row>
    <row r="183" ht="16.5" customHeight="1">
      <c r="F183" s="5"/>
    </row>
    <row r="184" ht="16.5" customHeight="1">
      <c r="F184" s="5"/>
    </row>
    <row r="185" ht="16.5" customHeight="1">
      <c r="F185" s="5"/>
    </row>
    <row r="186" ht="16.5" customHeight="1">
      <c r="F186" s="5"/>
    </row>
    <row r="187" ht="16.5" customHeight="1">
      <c r="F187" s="5"/>
    </row>
    <row r="188" ht="16.5" customHeight="1">
      <c r="F188" s="5"/>
    </row>
    <row r="189" ht="16.5" customHeight="1">
      <c r="F189" s="5"/>
    </row>
    <row r="190" ht="16.5" customHeight="1">
      <c r="F190" s="5"/>
    </row>
    <row r="191" ht="16.5" customHeight="1">
      <c r="F191" s="5"/>
    </row>
    <row r="192" ht="16.5" customHeight="1">
      <c r="F192" s="5"/>
    </row>
    <row r="193" ht="16.5" customHeight="1">
      <c r="F193" s="5"/>
    </row>
    <row r="194" ht="16.5" customHeight="1">
      <c r="F194" s="5"/>
    </row>
    <row r="195" ht="16.5" customHeight="1">
      <c r="F195" s="5"/>
    </row>
    <row r="196" ht="16.5" customHeight="1">
      <c r="F196" s="5"/>
    </row>
    <row r="197" ht="16.5" customHeight="1">
      <c r="F197" s="5"/>
    </row>
    <row r="198" ht="16.5" customHeight="1">
      <c r="F198" s="5"/>
    </row>
    <row r="199" ht="16.5" customHeight="1">
      <c r="F199" s="5"/>
    </row>
    <row r="200" ht="16.5" customHeight="1">
      <c r="F200" s="5"/>
    </row>
    <row r="201" ht="16.5" customHeight="1">
      <c r="F201" s="5"/>
    </row>
    <row r="202" ht="16.5" customHeight="1">
      <c r="F202" s="5"/>
    </row>
    <row r="203" ht="16.5" customHeight="1">
      <c r="F203" s="5"/>
    </row>
    <row r="204" ht="16.5" customHeight="1">
      <c r="F204" s="5"/>
    </row>
    <row r="205" ht="16.5" customHeight="1">
      <c r="F205" s="5"/>
    </row>
    <row r="206" ht="16.5" customHeight="1">
      <c r="F206" s="5"/>
    </row>
    <row r="207" ht="16.5" customHeight="1">
      <c r="F207" s="5"/>
    </row>
    <row r="208" ht="16.5" customHeight="1">
      <c r="F208" s="5"/>
    </row>
    <row r="209" ht="16.5" customHeight="1">
      <c r="F209" s="5"/>
    </row>
    <row r="210" ht="16.5" customHeight="1">
      <c r="F210" s="5"/>
    </row>
    <row r="211" ht="16.5" customHeight="1">
      <c r="F211" s="5"/>
    </row>
    <row r="212" ht="16.5" customHeight="1">
      <c r="F212" s="5"/>
    </row>
    <row r="213" ht="16.5" customHeight="1">
      <c r="F213" s="5"/>
    </row>
    <row r="214" ht="16.5" customHeight="1">
      <c r="F214" s="5"/>
    </row>
    <row r="215" ht="16.5" customHeight="1">
      <c r="F215" s="5"/>
    </row>
    <row r="216" ht="16.5" customHeight="1">
      <c r="F216" s="5"/>
    </row>
    <row r="217" ht="16.5" customHeight="1">
      <c r="F217" s="5"/>
    </row>
    <row r="218" ht="16.5" customHeight="1">
      <c r="F218" s="5"/>
    </row>
    <row r="219" ht="16.5" customHeight="1">
      <c r="F219" s="5"/>
    </row>
    <row r="220" ht="16.5" customHeight="1">
      <c r="F220" s="5"/>
    </row>
    <row r="221" ht="16.5" customHeight="1">
      <c r="F221" s="5"/>
    </row>
    <row r="222" ht="16.5" customHeight="1">
      <c r="F222" s="5"/>
    </row>
    <row r="223" ht="16.5" customHeight="1">
      <c r="F223" s="5"/>
    </row>
    <row r="224" ht="16.5" customHeight="1">
      <c r="F224" s="5"/>
    </row>
    <row r="225" ht="16.5" customHeight="1">
      <c r="F225" s="5"/>
    </row>
    <row r="226" ht="16.5" customHeight="1">
      <c r="F226" s="5"/>
    </row>
    <row r="227" ht="16.5" customHeight="1">
      <c r="F227" s="5"/>
    </row>
    <row r="228" ht="16.5" customHeight="1">
      <c r="F228" s="5"/>
    </row>
    <row r="229" ht="16.5" customHeight="1">
      <c r="F229" s="5"/>
    </row>
    <row r="230" ht="16.5" customHeight="1">
      <c r="F230" s="5"/>
    </row>
    <row r="231" ht="16.5" customHeight="1">
      <c r="F231" s="5"/>
    </row>
    <row r="232" ht="16.5" customHeight="1">
      <c r="F232" s="5"/>
    </row>
    <row r="233" ht="16.5" customHeight="1">
      <c r="F233" s="5"/>
    </row>
    <row r="234" ht="16.5" customHeight="1">
      <c r="F234" s="5"/>
    </row>
    <row r="235" ht="16.5" customHeight="1">
      <c r="F235" s="5"/>
    </row>
    <row r="236" ht="16.5" customHeight="1">
      <c r="F236" s="5"/>
    </row>
    <row r="237" ht="16.5" customHeight="1">
      <c r="F237" s="5"/>
    </row>
    <row r="238" ht="16.5" customHeight="1">
      <c r="F238" s="5"/>
    </row>
    <row r="239" ht="16.5" customHeight="1">
      <c r="F239" s="5"/>
    </row>
    <row r="240" ht="16.5" customHeight="1">
      <c r="F240" s="5"/>
    </row>
    <row r="241" ht="16.5" customHeight="1">
      <c r="F241" s="5"/>
    </row>
    <row r="242" ht="16.5" customHeight="1">
      <c r="F242" s="5"/>
    </row>
    <row r="243" ht="16.5" customHeight="1">
      <c r="F243" s="5"/>
    </row>
    <row r="244" ht="16.5" customHeight="1">
      <c r="F244" s="5"/>
    </row>
    <row r="245" ht="16.5" customHeight="1">
      <c r="F245" s="5"/>
    </row>
    <row r="246" ht="16.5" customHeight="1">
      <c r="F246" s="5"/>
    </row>
    <row r="247" ht="16.5" customHeight="1">
      <c r="F247" s="5"/>
    </row>
    <row r="248" ht="16.5" customHeight="1">
      <c r="F248" s="5"/>
    </row>
    <row r="249" ht="16.5" customHeight="1">
      <c r="F249" s="5"/>
    </row>
    <row r="250" ht="16.5" customHeight="1">
      <c r="F250" s="5"/>
    </row>
    <row r="251" ht="16.5" customHeight="1">
      <c r="F251" s="5"/>
    </row>
    <row r="252" ht="16.5" customHeight="1">
      <c r="F252" s="5"/>
    </row>
    <row r="253" ht="16.5" customHeight="1">
      <c r="F253" s="5"/>
    </row>
    <row r="254" ht="16.5" customHeight="1">
      <c r="F254" s="5"/>
    </row>
    <row r="255" ht="16.5" customHeight="1">
      <c r="F255" s="5"/>
    </row>
    <row r="256" ht="16.5" customHeight="1">
      <c r="F256" s="5"/>
    </row>
    <row r="257" ht="16.5" customHeight="1">
      <c r="F257" s="5"/>
    </row>
    <row r="258" ht="16.5" customHeight="1">
      <c r="F258" s="5"/>
    </row>
    <row r="259" ht="16.5" customHeight="1">
      <c r="F259" s="5"/>
    </row>
    <row r="260" ht="16.5" customHeight="1">
      <c r="F260" s="5"/>
    </row>
    <row r="261" ht="16.5" customHeight="1">
      <c r="F261" s="5"/>
    </row>
    <row r="262" ht="16.5" customHeight="1">
      <c r="F262" s="5"/>
    </row>
    <row r="263" ht="16.5" customHeight="1">
      <c r="F263" s="5"/>
    </row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87">
    <mergeCell ref="C27:C30"/>
    <mergeCell ref="C31:C34"/>
    <mergeCell ref="D31:D34"/>
    <mergeCell ref="E31:E34"/>
    <mergeCell ref="D35:D38"/>
    <mergeCell ref="E35:E38"/>
    <mergeCell ref="B9:B16"/>
    <mergeCell ref="B17:C17"/>
    <mergeCell ref="B18:B25"/>
    <mergeCell ref="C18:C21"/>
    <mergeCell ref="C22:C25"/>
    <mergeCell ref="B26:C26"/>
    <mergeCell ref="B27:B38"/>
    <mergeCell ref="D44:D47"/>
    <mergeCell ref="E44:E47"/>
    <mergeCell ref="C44:C47"/>
    <mergeCell ref="C49:C52"/>
    <mergeCell ref="D49:D52"/>
    <mergeCell ref="E49:E52"/>
    <mergeCell ref="C53:C56"/>
    <mergeCell ref="D53:D56"/>
    <mergeCell ref="B49:B56"/>
    <mergeCell ref="B57:C57"/>
    <mergeCell ref="B58:C59"/>
    <mergeCell ref="C35:C38"/>
    <mergeCell ref="B39:C39"/>
    <mergeCell ref="B40:B47"/>
    <mergeCell ref="C40:C43"/>
    <mergeCell ref="D40:D43"/>
    <mergeCell ref="E40:E43"/>
    <mergeCell ref="E53:E56"/>
    <mergeCell ref="D59:E59"/>
    <mergeCell ref="U44:U48"/>
    <mergeCell ref="U49:U53"/>
    <mergeCell ref="AC49:AC53"/>
    <mergeCell ref="AC54:AC58"/>
    <mergeCell ref="AC59:AC63"/>
    <mergeCell ref="V49:V53"/>
    <mergeCell ref="U54:U58"/>
    <mergeCell ref="V54:V58"/>
    <mergeCell ref="U59:U63"/>
    <mergeCell ref="V59:V63"/>
    <mergeCell ref="U29:U33"/>
    <mergeCell ref="V29:V33"/>
    <mergeCell ref="U34:U38"/>
    <mergeCell ref="V34:V38"/>
    <mergeCell ref="U39:U43"/>
    <mergeCell ref="V39:V43"/>
    <mergeCell ref="V44:V48"/>
    <mergeCell ref="U5:AN5"/>
    <mergeCell ref="U6:AN6"/>
    <mergeCell ref="B2:G2"/>
    <mergeCell ref="C4:E4"/>
    <mergeCell ref="J4:T4"/>
    <mergeCell ref="U4:AN4"/>
    <mergeCell ref="C5:E5"/>
    <mergeCell ref="J5:T5"/>
    <mergeCell ref="B6:G6"/>
    <mergeCell ref="C9:C12"/>
    <mergeCell ref="D9:D12"/>
    <mergeCell ref="E9:E12"/>
    <mergeCell ref="V9:V13"/>
    <mergeCell ref="AC9:AC13"/>
    <mergeCell ref="E13:E16"/>
    <mergeCell ref="AC14:AC18"/>
    <mergeCell ref="AC19:AC23"/>
    <mergeCell ref="AC24:AC28"/>
    <mergeCell ref="AC29:AC33"/>
    <mergeCell ref="AC34:AC38"/>
    <mergeCell ref="AC39:AC43"/>
    <mergeCell ref="AC44:AC48"/>
    <mergeCell ref="U9:U13"/>
    <mergeCell ref="U14:U18"/>
    <mergeCell ref="V14:V18"/>
    <mergeCell ref="U19:U23"/>
    <mergeCell ref="V19:V23"/>
    <mergeCell ref="U24:U28"/>
    <mergeCell ref="V24:V28"/>
    <mergeCell ref="D27:D30"/>
    <mergeCell ref="B48:C48"/>
    <mergeCell ref="C13:C16"/>
    <mergeCell ref="D13:D16"/>
    <mergeCell ref="D18:D21"/>
    <mergeCell ref="E18:E21"/>
    <mergeCell ref="D22:D25"/>
    <mergeCell ref="E22:E25"/>
    <mergeCell ref="E27:E30"/>
  </mergeCells>
  <conditionalFormatting sqref="AD9:AI63">
    <cfRule type="containsText" dxfId="1" priority="1" operator="containsText" text="☑">
      <formula>NOT(ISERROR(SEARCH(("☑"),(AD9))))</formula>
    </cfRule>
  </conditionalFormatting>
  <conditionalFormatting sqref="AL9:AL63">
    <cfRule type="containsText" dxfId="0" priority="2" operator="containsText" text="증빙 미입증">
      <formula>NOT(ISERROR(SEARCH(("증빙 미입증"),(AL9))))</formula>
    </cfRule>
  </conditionalFormatting>
  <dataValidations>
    <dataValidation type="decimal" allowBlank="1" showErrorMessage="1" sqref="D9 D13 D18 D22">
      <formula1>1.0</formula1>
      <formula2>4.0</formula2>
    </dataValidation>
    <dataValidation type="list" allowBlank="1" sqref="AD9:AI63">
      <formula1>"☐,☑"</formula1>
    </dataValidation>
    <dataValidation type="list" allowBlank="1" sqref="AN9:AN63">
      <formula1>"없음,경고,1점 상한,확정 차단"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6.0"/>
    <col customWidth="1" min="2" max="2" width="30.71"/>
    <col customWidth="1" min="3" max="3" width="80.29"/>
    <col customWidth="1" min="4" max="5" width="12.71"/>
    <col customWidth="1" min="6" max="6" width="11.71"/>
    <col customWidth="1" min="7" max="7" width="81.86"/>
    <col customWidth="1" min="8" max="8" width="68.0"/>
    <col customWidth="1" min="9" max="9" width="3.0"/>
    <col customWidth="1" min="10" max="10" width="10.0"/>
    <col customWidth="1" min="11" max="11" width="35.0"/>
    <col customWidth="1" min="12" max="13" width="10.0"/>
    <col customWidth="1" min="14" max="16" width="11.0"/>
    <col customWidth="1" min="17" max="17" width="10.0"/>
    <col customWidth="1" min="18" max="18" width="11.0"/>
    <col customWidth="1" min="19" max="19" width="10.0"/>
    <col customWidth="1" min="20" max="20" width="13.0"/>
    <col customWidth="1" min="21" max="21" width="9.0"/>
    <col customWidth="1" min="22" max="22" width="35.0"/>
    <col customWidth="1" min="23" max="23" width="9.0"/>
    <col customWidth="1" min="24" max="24" width="30.0"/>
    <col customWidth="1" min="25" max="25" width="11.0"/>
    <col customWidth="1" min="26" max="26" width="13.0"/>
    <col customWidth="1" min="27" max="27" width="43.0"/>
    <col customWidth="1" min="28" max="28" width="27.0"/>
    <col customWidth="1" min="29" max="29" width="45.0"/>
    <col customWidth="1" min="30" max="35" width="11.0"/>
    <col customWidth="1" min="36" max="37" width="12.0"/>
    <col customWidth="1" min="38" max="38" width="15.0"/>
    <col customWidth="1" min="39" max="39" width="34.0"/>
    <col customWidth="1" min="40" max="40" width="13.0"/>
  </cols>
  <sheetData>
    <row r="1" ht="16.5" customHeight="1">
      <c r="F1" s="5"/>
    </row>
    <row r="2" ht="77.25" customHeight="1">
      <c r="B2" s="7" t="s">
        <v>31</v>
      </c>
      <c r="C2" s="9"/>
      <c r="D2" s="9"/>
      <c r="E2" s="9"/>
      <c r="F2" s="9"/>
      <c r="G2" s="10"/>
    </row>
    <row r="3" ht="16.5" customHeight="1">
      <c r="F3" s="5"/>
    </row>
    <row r="4" ht="30.0" customHeight="1">
      <c r="A4" s="11"/>
      <c r="B4" s="12" t="s">
        <v>36</v>
      </c>
      <c r="C4" s="13"/>
      <c r="F4" s="14"/>
      <c r="G4" s="11"/>
      <c r="H4" s="11"/>
      <c r="I4" s="11"/>
      <c r="J4" s="15" t="s">
        <v>41</v>
      </c>
      <c r="U4" s="15" t="s">
        <v>45</v>
      </c>
    </row>
    <row r="5" ht="33.75" customHeight="1">
      <c r="A5" s="11"/>
      <c r="B5" s="12" t="s">
        <v>48</v>
      </c>
      <c r="C5" s="13"/>
      <c r="F5" s="14"/>
      <c r="G5" s="11"/>
      <c r="H5" s="11"/>
      <c r="I5" s="11"/>
      <c r="J5" s="8" t="s">
        <v>52</v>
      </c>
      <c r="U5" s="8" t="s">
        <v>54</v>
      </c>
    </row>
    <row r="6" ht="33.75" customHeight="1">
      <c r="A6" s="11"/>
      <c r="B6" s="17" t="s">
        <v>57</v>
      </c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8" t="s">
        <v>63</v>
      </c>
    </row>
    <row r="7" ht="27.75" customHeight="1">
      <c r="F7" s="5"/>
      <c r="H7" s="20" t="s">
        <v>65</v>
      </c>
    </row>
    <row r="8" ht="16.5" customHeight="1">
      <c r="A8" s="11"/>
      <c r="B8" s="21" t="s">
        <v>67</v>
      </c>
      <c r="C8" s="23" t="s">
        <v>8</v>
      </c>
      <c r="D8" s="23" t="s">
        <v>69</v>
      </c>
      <c r="E8" s="23" t="s">
        <v>70</v>
      </c>
      <c r="F8" s="24" t="s">
        <v>71</v>
      </c>
      <c r="G8" s="25" t="s">
        <v>72</v>
      </c>
      <c r="H8" s="26" t="s">
        <v>73</v>
      </c>
      <c r="I8" s="11"/>
      <c r="J8" s="4" t="s">
        <v>7</v>
      </c>
      <c r="K8" s="4" t="s">
        <v>8</v>
      </c>
      <c r="L8" s="4" t="s">
        <v>9</v>
      </c>
      <c r="M8" s="4" t="s">
        <v>10</v>
      </c>
      <c r="N8" s="4" t="s">
        <v>12</v>
      </c>
      <c r="O8" s="4" t="s">
        <v>74</v>
      </c>
      <c r="P8" s="4" t="s">
        <v>75</v>
      </c>
      <c r="Q8" s="4" t="s">
        <v>20</v>
      </c>
      <c r="R8" s="4" t="s">
        <v>21</v>
      </c>
      <c r="S8" s="4" t="s">
        <v>22</v>
      </c>
      <c r="T8" s="4" t="s">
        <v>23</v>
      </c>
      <c r="U8" s="4" t="s">
        <v>7</v>
      </c>
      <c r="V8" s="4" t="s">
        <v>8</v>
      </c>
      <c r="W8" s="4" t="s">
        <v>76</v>
      </c>
      <c r="X8" s="4" t="s">
        <v>77</v>
      </c>
      <c r="Y8" s="4" t="s">
        <v>78</v>
      </c>
      <c r="Z8" s="4" t="s">
        <v>79</v>
      </c>
      <c r="AA8" s="4" t="s">
        <v>80</v>
      </c>
      <c r="AB8" s="4" t="s">
        <v>81</v>
      </c>
      <c r="AC8" s="4" t="s">
        <v>82</v>
      </c>
      <c r="AD8" s="4" t="s">
        <v>83</v>
      </c>
      <c r="AE8" s="4" t="s">
        <v>84</v>
      </c>
      <c r="AF8" s="4" t="s">
        <v>85</v>
      </c>
      <c r="AG8" s="4" t="s">
        <v>86</v>
      </c>
      <c r="AH8" s="4" t="s">
        <v>87</v>
      </c>
      <c r="AI8" s="4" t="s">
        <v>88</v>
      </c>
      <c r="AJ8" s="4" t="s">
        <v>37</v>
      </c>
      <c r="AK8" s="4" t="s">
        <v>89</v>
      </c>
      <c r="AL8" s="4" t="s">
        <v>90</v>
      </c>
      <c r="AM8" s="4" t="s">
        <v>91</v>
      </c>
      <c r="AN8" s="4" t="s">
        <v>18</v>
      </c>
    </row>
    <row r="9" ht="61.5" customHeight="1">
      <c r="B9" s="28" t="s">
        <v>26</v>
      </c>
      <c r="C9" s="30" t="s">
        <v>92</v>
      </c>
      <c r="D9" s="31" t="str">
        <f>IF(S9="","",S9)</f>
        <v/>
      </c>
      <c r="E9" s="33" t="s">
        <v>93</v>
      </c>
      <c r="F9" s="34" t="s">
        <v>94</v>
      </c>
      <c r="G9" s="35" t="s">
        <v>95</v>
      </c>
      <c r="H9" s="36" t="s">
        <v>96</v>
      </c>
      <c r="J9" s="19" t="s">
        <v>27</v>
      </c>
      <c r="K9" s="6" t="s">
        <v>28</v>
      </c>
      <c r="L9" s="37" t="str">
        <f>IF(COUNT(AK9:AK13)=0,"",100*SUM(AK9:AK13)/(COUNT(AK9:AK13)*0.2))</f>
        <v/>
      </c>
      <c r="M9" s="38">
        <f>COUNT(AK9:AK13)/5</f>
        <v>0</v>
      </c>
      <c r="N9" s="37">
        <f>IF(COUNTIFS(AD9:AD13,"☑")=0,0,100*(0.55*M9+0.45*((0.3*(COUNTIFS(AF9:AF13,"☑")+0.5*COUNTIFS(AD9:AD13,"☑",AF9:AF13,"☐"))+0.25*COUNTIFS(AE9:AE13,"☑")+0.2*COUNTIFS(AG9:AG13,"☑")+0.15*COUNTIFS(AH9:AH13,"☑")+0.1*COUNTIFS(AI9:AI13,"☑"))/COUNTIFS(AD9:AD13,"☑"))))</f>
        <v>0</v>
      </c>
      <c r="O9" s="27" t="str">
        <f>IF(COUNTIFS(AJ9:AJ13,"ND")&gt;0,"미판정",IF(COUNTIFS(AJ9:AJ13,"1.00")=5,"충족","미충족"))</f>
        <v>미판정</v>
      </c>
      <c r="P9" s="37">
        <f>MIN(IF(M9&lt;0.6,0,IF(M9&lt;0.85,3,4)),IF(O9="충족",4,3),IF(COUNTIFS(AN9:AN13,"확정 차단")&gt;0,0,IF(COUNTIFS(AN9:AN13,"1점 상한")&gt;0,1,4)))</f>
        <v>0</v>
      </c>
      <c r="Q9" s="37" t="str">
        <f>IF(OR(L9="",M9&lt;0.6,COUNTIFS(AN9:AN13,"확정 차단")&gt;0),"",MIN(IF(L9&lt;40,1,IF(L9&lt;60,2,IF(L9&lt;80,3,4))),P9))</f>
        <v/>
      </c>
      <c r="R9" s="40"/>
      <c r="S9" s="37" t="str">
        <f t="shared" ref="S9:S20" si="1">IF(ISNUMBER(R9),R9,Q9)</f>
        <v/>
      </c>
      <c r="T9" s="41" t="str">
        <f>IF(COUNTIFS(AN9:AN13,"확정 차단")&gt;0,"확정차단",IF(M9&lt;0.6,"자료보완",IF(N9&lt;50,"검토필수",IF(ISNUMBER(R9),"수동확정","추천완료"))))</f>
        <v>자료보완</v>
      </c>
      <c r="U9" s="42" t="s">
        <v>27</v>
      </c>
      <c r="V9" s="42" t="s">
        <v>28</v>
      </c>
      <c r="W9" s="19" t="s">
        <v>97</v>
      </c>
      <c r="X9" s="6" t="s">
        <v>68</v>
      </c>
      <c r="Y9" s="43">
        <v>0.2</v>
      </c>
      <c r="Z9" s="44">
        <v>0.2</v>
      </c>
      <c r="AA9" s="6" t="s">
        <v>113</v>
      </c>
      <c r="AB9" s="6" t="s">
        <v>99</v>
      </c>
      <c r="AC9" s="45" t="s">
        <v>100</v>
      </c>
      <c r="AD9" s="46" t="s">
        <v>101</v>
      </c>
      <c r="AE9" s="46" t="s">
        <v>101</v>
      </c>
      <c r="AF9" s="46" t="s">
        <v>101</v>
      </c>
      <c r="AG9" s="46" t="s">
        <v>101</v>
      </c>
      <c r="AH9" s="46" t="s">
        <v>101</v>
      </c>
      <c r="AI9" s="46" t="s">
        <v>101</v>
      </c>
      <c r="AJ9" s="27" t="str">
        <f t="shared" ref="AJ9:AJ68" si="2">IF(AD9&lt;&gt;"☑","ND",IF(COUNTIFS(AE9:AI9,"☑")=0,"0.00",IF(COUNTIFS(AE9:AI9,"☑")&lt;=2,"0.33",IF(COUNTIFS(AE9:AI9,"☑")&lt;=4,"0.67","1.00"))))</f>
        <v>ND</v>
      </c>
      <c r="AK9" s="47" t="str">
        <f t="shared" ref="AK9:AK68" si="3">IF(OR(AJ9="",AJ9="ND"),"",VALUE(AJ9)*Z9)</f>
        <v/>
      </c>
      <c r="AL9" s="27" t="str">
        <f t="shared" ref="AL9:AL68" si="4">IF(AD9&lt;&gt;"☑","증빙 미입증",IF(AJ9="1.00","충족",IF(AJ9="0.67","대체로 충족",IF(AJ9="0.33","일부 충족","미충족"))))</f>
        <v>증빙 미입증</v>
      </c>
      <c r="AM9" s="48"/>
      <c r="AN9" s="48" t="s">
        <v>109</v>
      </c>
    </row>
    <row r="10" ht="61.5" customHeight="1">
      <c r="B10" s="49"/>
      <c r="C10" s="50"/>
      <c r="D10" s="50"/>
      <c r="E10" s="50"/>
      <c r="F10" s="34" t="s">
        <v>110</v>
      </c>
      <c r="G10" s="35" t="s">
        <v>111</v>
      </c>
      <c r="H10" s="51" t="s">
        <v>112</v>
      </c>
      <c r="J10" s="19" t="s">
        <v>105</v>
      </c>
      <c r="K10" s="6" t="s">
        <v>106</v>
      </c>
      <c r="L10" s="37" t="str">
        <f>IF(COUNT(AK14:AK18)=0,"",100*SUM(AK14:AK18)/(COUNT(AK14:AK18)*0.2))</f>
        <v/>
      </c>
      <c r="M10" s="38">
        <f>COUNT(AK14:AK18)/5</f>
        <v>0</v>
      </c>
      <c r="N10" s="37">
        <f>IF(COUNTIFS(AD14:AD18,"☑")=0,0,100*(0.55*M10+0.45*((0.3*(COUNTIFS(AF14:AF18,"☑")+0.5*COUNTIFS(AD14:AD18,"☑",AF14:AF18,"☐"))+0.25*COUNTIFS(AE14:AE18,"☑")+0.2*COUNTIFS(AG14:AG18,"☑")+0.15*COUNTIFS(AH14:AH18,"☑")+0.1*COUNTIFS(AI14:AI18,"☑"))/COUNTIFS(AD14:AD18,"☑"))))</f>
        <v>0</v>
      </c>
      <c r="O10" s="27" t="str">
        <f>IF(COUNTIFS(AJ14:AJ18,"ND")&gt;0,"미판정",IF(COUNTIFS(AJ14:AJ18,"1.00")=5,"충족","미충족"))</f>
        <v>미판정</v>
      </c>
      <c r="P10" s="37">
        <f>MIN(IF(M10&lt;0.6,0,IF(M10&lt;0.85,3,4)),IF(O10="충족",4,3),IF(COUNTIFS(AN14:AN18,"확정 차단")&gt;0,0,IF(COUNTIFS(AN14:AN18,"1점 상한")&gt;0,1,4)))</f>
        <v>0</v>
      </c>
      <c r="Q10" s="37" t="str">
        <f>IF(OR(L10="",M10&lt;0.6,COUNTIFS(AN14:AN18,"확정 차단")&gt;0),"",MIN(IF(L10&lt;40,1,IF(L10&lt;60,2,IF(L10&lt;80,3,4))),P10))</f>
        <v/>
      </c>
      <c r="R10" s="40"/>
      <c r="S10" s="37" t="str">
        <f t="shared" si="1"/>
        <v/>
      </c>
      <c r="T10" s="41" t="str">
        <f>IF(COUNTIFS(AN14:AN18,"확정 차단")&gt;0,"확정차단",IF(M10&lt;0.6,"자료보완",IF(N10&lt;50,"검토필수",IF(ISNUMBER(R10),"수동확정","추천완료"))))</f>
        <v>자료보완</v>
      </c>
      <c r="U10" s="52"/>
      <c r="V10" s="52"/>
      <c r="W10" s="19" t="s">
        <v>117</v>
      </c>
      <c r="X10" s="6" t="s">
        <v>108</v>
      </c>
      <c r="Y10" s="43">
        <v>0.2</v>
      </c>
      <c r="Z10" s="44">
        <v>0.2</v>
      </c>
      <c r="AA10" s="6" t="s">
        <v>139</v>
      </c>
      <c r="AB10" s="6" t="s">
        <v>99</v>
      </c>
      <c r="AC10" s="52"/>
      <c r="AD10" s="46" t="s">
        <v>101</v>
      </c>
      <c r="AE10" s="46" t="s">
        <v>101</v>
      </c>
      <c r="AF10" s="46" t="s">
        <v>101</v>
      </c>
      <c r="AG10" s="46" t="s">
        <v>101</v>
      </c>
      <c r="AH10" s="46" t="s">
        <v>101</v>
      </c>
      <c r="AI10" s="46" t="s">
        <v>101</v>
      </c>
      <c r="AJ10" s="27" t="str">
        <f t="shared" si="2"/>
        <v>ND</v>
      </c>
      <c r="AK10" s="47" t="str">
        <f t="shared" si="3"/>
        <v/>
      </c>
      <c r="AL10" s="27" t="str">
        <f t="shared" si="4"/>
        <v>증빙 미입증</v>
      </c>
      <c r="AM10" s="48"/>
      <c r="AN10" s="48" t="s">
        <v>109</v>
      </c>
    </row>
    <row r="11" ht="61.5" customHeight="1">
      <c r="B11" s="49"/>
      <c r="C11" s="50"/>
      <c r="D11" s="50"/>
      <c r="E11" s="50"/>
      <c r="F11" s="34" t="s">
        <v>119</v>
      </c>
      <c r="G11" s="35" t="s">
        <v>120</v>
      </c>
      <c r="H11" s="53" t="s">
        <v>121</v>
      </c>
      <c r="J11" s="19" t="s">
        <v>122</v>
      </c>
      <c r="K11" s="6" t="s">
        <v>123</v>
      </c>
      <c r="L11" s="37" t="str">
        <f>IF(COUNT(AK19:AK23)=0,"",100*SUM(AK19:AK23)/(COUNT(AK19:AK23)*0.2))</f>
        <v/>
      </c>
      <c r="M11" s="38">
        <f>COUNT(AK19:AK23)/5</f>
        <v>0</v>
      </c>
      <c r="N11" s="37">
        <f>IF(COUNTIFS(AD19:AD23,"☑")=0,0,100*(0.55*M11+0.45*((0.3*(COUNTIFS(AF19:AF23,"☑")+0.5*COUNTIFS(AD19:AD23,"☑",AF19:AF23,"☐"))+0.25*COUNTIFS(AE19:AE23,"☑")+0.2*COUNTIFS(AG19:AG23,"☑")+0.15*COUNTIFS(AH19:AH23,"☑")+0.1*COUNTIFS(AI19:AI23,"☑"))/COUNTIFS(AD19:AD23,"☑"))))</f>
        <v>0</v>
      </c>
      <c r="O11" s="27" t="str">
        <f>IF(COUNTIFS(AJ19:AJ23,"ND")&gt;0,"미판정",IF(COUNTIFS(AJ19:AJ23,"1.00")=5,"충족","미충족"))</f>
        <v>미판정</v>
      </c>
      <c r="P11" s="37">
        <f>MIN(IF(M11&lt;0.6,0,IF(M11&lt;0.85,3,4)),IF(O11="충족",4,3),IF(COUNTIFS(AN19:AN23,"확정 차단")&gt;0,0,IF(COUNTIFS(AN19:AN23,"1점 상한")&gt;0,1,4)))</f>
        <v>0</v>
      </c>
      <c r="Q11" s="37" t="str">
        <f>IF(OR(L11="",M11&lt;0.6,COUNTIFS(AN19:AN23,"확정 차단")&gt;0),"",MIN(IF(L11&lt;40,1,IF(L11&lt;60,2,IF(L11&lt;80,3,4))),P11))</f>
        <v/>
      </c>
      <c r="R11" s="40"/>
      <c r="S11" s="37" t="str">
        <f t="shared" si="1"/>
        <v/>
      </c>
      <c r="T11" s="41" t="str">
        <f>IF(COUNTIFS(AN19:AN23,"확정 차단")&gt;0,"확정차단",IF(M11&lt;0.6,"자료보완",IF(N11&lt;50,"검토필수",IF(ISNUMBER(R11),"수동확정","추천완료"))))</f>
        <v>자료보완</v>
      </c>
      <c r="U11" s="52"/>
      <c r="V11" s="52"/>
      <c r="W11" s="19" t="s">
        <v>129</v>
      </c>
      <c r="X11" s="6" t="s">
        <v>116</v>
      </c>
      <c r="Y11" s="43">
        <v>0.2</v>
      </c>
      <c r="Z11" s="44">
        <v>0.2</v>
      </c>
      <c r="AA11" s="6" t="s">
        <v>160</v>
      </c>
      <c r="AB11" s="6" t="s">
        <v>99</v>
      </c>
      <c r="AC11" s="52"/>
      <c r="AD11" s="46" t="s">
        <v>101</v>
      </c>
      <c r="AE11" s="46" t="s">
        <v>101</v>
      </c>
      <c r="AF11" s="46" t="s">
        <v>101</v>
      </c>
      <c r="AG11" s="46" t="s">
        <v>101</v>
      </c>
      <c r="AH11" s="46" t="s">
        <v>101</v>
      </c>
      <c r="AI11" s="46" t="s">
        <v>101</v>
      </c>
      <c r="AJ11" s="27" t="str">
        <f t="shared" si="2"/>
        <v>ND</v>
      </c>
      <c r="AK11" s="47" t="str">
        <f t="shared" si="3"/>
        <v/>
      </c>
      <c r="AL11" s="27" t="str">
        <f t="shared" si="4"/>
        <v>증빙 미입증</v>
      </c>
      <c r="AM11" s="48"/>
      <c r="AN11" s="48" t="s">
        <v>109</v>
      </c>
    </row>
    <row r="12" ht="61.5" customHeight="1">
      <c r="B12" s="49"/>
      <c r="C12" s="54"/>
      <c r="D12" s="54"/>
      <c r="E12" s="54"/>
      <c r="F12" s="34" t="s">
        <v>131</v>
      </c>
      <c r="G12" s="35" t="s">
        <v>132</v>
      </c>
      <c r="H12" s="55" t="s">
        <v>133</v>
      </c>
      <c r="J12" s="19" t="s">
        <v>134</v>
      </c>
      <c r="K12" s="6" t="s">
        <v>135</v>
      </c>
      <c r="L12" s="37" t="str">
        <f>IF(COUNT(AK24:AK28)=0,"",100*SUM(AK24:AK28)/(COUNT(AK24:AK28)*0.2))</f>
        <v/>
      </c>
      <c r="M12" s="38">
        <f>COUNT(AK24:AK28)/5</f>
        <v>0</v>
      </c>
      <c r="N12" s="37">
        <f>IF(COUNTIFS(AD24:AD28,"☑")=0,0,100*(0.55*M12+0.45*((0.3*(COUNTIFS(AF24:AF28,"☑")+0.5*COUNTIFS(AD24:AD28,"☑",AF24:AF28,"☐"))+0.25*COUNTIFS(AE24:AE28,"☑")+0.2*COUNTIFS(AG24:AG28,"☑")+0.15*COUNTIFS(AH24:AH28,"☑")+0.1*COUNTIFS(AI24:AI28,"☑"))/COUNTIFS(AD24:AD28,"☑"))))</f>
        <v>0</v>
      </c>
      <c r="O12" s="27" t="str">
        <f>IF(COUNTIFS(AJ24:AJ28,"ND")&gt;0,"미판정",IF(COUNTIFS(AJ24:AJ28,"1.00")=5,"충족","미충족"))</f>
        <v>미판정</v>
      </c>
      <c r="P12" s="37">
        <f>MIN(IF(M12&lt;0.6,0,IF(M12&lt;0.85,3,4)),IF(O12="충족",4,3),IF(COUNTIFS(AN24:AN28,"확정 차단")&gt;0,0,IF(COUNTIFS(AN24:AN28,"1점 상한")&gt;0,1,4)))</f>
        <v>0</v>
      </c>
      <c r="Q12" s="37" t="str">
        <f>IF(OR(L12="",M12&lt;0.6,COUNTIFS(AN24:AN28,"확정 차단")&gt;0),"",MIN(IF(L12&lt;40,1,IF(L12&lt;60,2,IF(L12&lt;80,3,4))),P12))</f>
        <v/>
      </c>
      <c r="R12" s="40"/>
      <c r="S12" s="37" t="str">
        <f t="shared" si="1"/>
        <v/>
      </c>
      <c r="T12" s="41" t="str">
        <f>IF(COUNTIFS(AN24:AN28,"확정 차단")&gt;0,"확정차단",IF(M12&lt;0.6,"자료보완",IF(N12&lt;50,"검토필수",IF(ISNUMBER(R12),"수동확정","추천완료"))))</f>
        <v>자료보완</v>
      </c>
      <c r="U12" s="52"/>
      <c r="V12" s="52"/>
      <c r="W12" s="19" t="s">
        <v>140</v>
      </c>
      <c r="X12" s="6" t="s">
        <v>126</v>
      </c>
      <c r="Y12" s="43">
        <v>0.2</v>
      </c>
      <c r="Z12" s="44">
        <v>0.2</v>
      </c>
      <c r="AA12" s="6" t="s">
        <v>177</v>
      </c>
      <c r="AB12" s="6" t="s">
        <v>99</v>
      </c>
      <c r="AC12" s="52"/>
      <c r="AD12" s="46" t="s">
        <v>101</v>
      </c>
      <c r="AE12" s="46" t="s">
        <v>101</v>
      </c>
      <c r="AF12" s="46" t="s">
        <v>101</v>
      </c>
      <c r="AG12" s="46" t="s">
        <v>101</v>
      </c>
      <c r="AH12" s="46" t="s">
        <v>101</v>
      </c>
      <c r="AI12" s="46" t="s">
        <v>101</v>
      </c>
      <c r="AJ12" s="27" t="str">
        <f t="shared" si="2"/>
        <v>ND</v>
      </c>
      <c r="AK12" s="47" t="str">
        <f t="shared" si="3"/>
        <v/>
      </c>
      <c r="AL12" s="27" t="str">
        <f t="shared" si="4"/>
        <v>증빙 미입증</v>
      </c>
      <c r="AM12" s="48"/>
      <c r="AN12" s="48" t="s">
        <v>109</v>
      </c>
    </row>
    <row r="13" ht="61.5" customHeight="1">
      <c r="B13" s="49"/>
      <c r="C13" s="30" t="s">
        <v>142</v>
      </c>
      <c r="D13" s="31" t="str">
        <f>IF(S10="","",S10)</f>
        <v/>
      </c>
      <c r="E13" s="33" t="s">
        <v>93</v>
      </c>
      <c r="F13" s="34" t="s">
        <v>94</v>
      </c>
      <c r="G13" s="35" t="s">
        <v>143</v>
      </c>
      <c r="H13" s="36" t="s">
        <v>145</v>
      </c>
      <c r="J13" s="19" t="s">
        <v>146</v>
      </c>
      <c r="K13" s="6" t="s">
        <v>147</v>
      </c>
      <c r="L13" s="37" t="str">
        <f>IF(COUNT(AK29:AK33)=0,"",100*SUM(AK29:AK33)/(COUNT(AK29:AK33)*0.2))</f>
        <v/>
      </c>
      <c r="M13" s="38">
        <f>COUNT(AK29:AK33)/5</f>
        <v>0</v>
      </c>
      <c r="N13" s="37">
        <f>IF(COUNTIFS(AD29:AD33,"☑")=0,0,100*(0.55*M13+0.45*((0.3*(COUNTIFS(AF29:AF33,"☑")+0.5*COUNTIFS(AD29:AD33,"☑",AF29:AF33,"☐"))+0.25*COUNTIFS(AE29:AE33,"☑")+0.2*COUNTIFS(AG29:AG33,"☑")+0.15*COUNTIFS(AH29:AH33,"☑")+0.1*COUNTIFS(AI29:AI33,"☑"))/COUNTIFS(AD29:AD33,"☑"))))</f>
        <v>0</v>
      </c>
      <c r="O13" s="27" t="str">
        <f>IF(COUNTIFS(AJ29:AJ33,"ND")&gt;0,"미판정",IF(COUNTIFS(AJ29:AJ33,"1.00")=5,"충족","미충족"))</f>
        <v>미판정</v>
      </c>
      <c r="P13" s="37">
        <f>MIN(IF(M13&lt;0.6,0,IF(M13&lt;0.85,3,4)),IF(O13="충족",4,3),IF(COUNTIFS(AN29:AN33,"확정 차단")&gt;0,0,IF(COUNTIFS(AN29:AN33,"1점 상한")&gt;0,1,4)))</f>
        <v>0</v>
      </c>
      <c r="Q13" s="37" t="str">
        <f>IF(OR(L13="",M13&lt;0.6,COUNTIFS(AN29:AN33,"확정 차단")&gt;0),"",MIN(IF(L13&lt;40,1,IF(L13&lt;60,2,IF(L13&lt;80,3,4))),P13))</f>
        <v/>
      </c>
      <c r="R13" s="40"/>
      <c r="S13" s="37" t="str">
        <f t="shared" si="1"/>
        <v/>
      </c>
      <c r="T13" s="41" t="str">
        <f>IF(COUNTIFS(AN29:AN33,"확정 차단")&gt;0,"확정차단",IF(M13&lt;0.6,"자료보완",IF(N13&lt;50,"검토필수",IF(ISNUMBER(R13),"수동확정","추천완료"))))</f>
        <v>자료보완</v>
      </c>
      <c r="U13" s="56"/>
      <c r="V13" s="56"/>
      <c r="W13" s="19" t="s">
        <v>152</v>
      </c>
      <c r="X13" s="6" t="s">
        <v>138</v>
      </c>
      <c r="Y13" s="43">
        <v>0.2</v>
      </c>
      <c r="Z13" s="44">
        <v>0.2</v>
      </c>
      <c r="AA13" s="6" t="s">
        <v>192</v>
      </c>
      <c r="AB13" s="6" t="s">
        <v>99</v>
      </c>
      <c r="AC13" s="56"/>
      <c r="AD13" s="46" t="s">
        <v>101</v>
      </c>
      <c r="AE13" s="46" t="s">
        <v>101</v>
      </c>
      <c r="AF13" s="46" t="s">
        <v>101</v>
      </c>
      <c r="AG13" s="46" t="s">
        <v>101</v>
      </c>
      <c r="AH13" s="46" t="s">
        <v>101</v>
      </c>
      <c r="AI13" s="46" t="s">
        <v>101</v>
      </c>
      <c r="AJ13" s="27" t="str">
        <f t="shared" si="2"/>
        <v>ND</v>
      </c>
      <c r="AK13" s="47" t="str">
        <f t="shared" si="3"/>
        <v/>
      </c>
      <c r="AL13" s="27" t="str">
        <f t="shared" si="4"/>
        <v>증빙 미입증</v>
      </c>
      <c r="AM13" s="48"/>
      <c r="AN13" s="48" t="s">
        <v>109</v>
      </c>
    </row>
    <row r="14" ht="61.5" customHeight="1">
      <c r="B14" s="49"/>
      <c r="C14" s="50"/>
      <c r="D14" s="50"/>
      <c r="E14" s="50"/>
      <c r="F14" s="34" t="s">
        <v>110</v>
      </c>
      <c r="G14" s="35" t="s">
        <v>156</v>
      </c>
      <c r="H14" s="51" t="s">
        <v>157</v>
      </c>
      <c r="J14" s="19" t="s">
        <v>158</v>
      </c>
      <c r="K14" s="6" t="s">
        <v>159</v>
      </c>
      <c r="L14" s="37" t="str">
        <f>IF(COUNT(AK34:AK38)=0,"",100*SUM(AK34:AK38)/(COUNT(AK34:AK38)*0.2))</f>
        <v/>
      </c>
      <c r="M14" s="38">
        <f>COUNT(AK34:AK38)/5</f>
        <v>0</v>
      </c>
      <c r="N14" s="37">
        <f>IF(COUNTIFS(AD34:AD38,"☑")=0,0,100*(0.55*M14+0.45*((0.3*(COUNTIFS(AF34:AF38,"☑")+0.5*COUNTIFS(AD34:AD38,"☑",AF34:AF38,"☐"))+0.25*COUNTIFS(AE34:AE38,"☑")+0.2*COUNTIFS(AG34:AG38,"☑")+0.15*COUNTIFS(AH34:AH38,"☑")+0.1*COUNTIFS(AI34:AI38,"☑"))/COUNTIFS(AD34:AD38,"☑"))))</f>
        <v>0</v>
      </c>
      <c r="O14" s="27" t="str">
        <f>IF(COUNTIFS(AJ34:AJ38,"ND")&gt;0,"미판정",IF(COUNTIFS(AJ34:AJ38,"1.00")=5,"충족","미충족"))</f>
        <v>미판정</v>
      </c>
      <c r="P14" s="37">
        <f>MIN(IF(M14&lt;0.6,0,IF(M14&lt;0.85,3,4)),IF(O14="충족",4,3),IF(COUNTIFS(AN34:AN38,"확정 차단")&gt;0,0,IF(COUNTIFS(AN34:AN38,"1점 상한")&gt;0,1,4)))</f>
        <v>0</v>
      </c>
      <c r="Q14" s="37" t="str">
        <f>IF(OR(L14="",M14&lt;0.6,COUNTIFS(AN34:AN38,"확정 차단")&gt;0),"",MIN(IF(L14&lt;40,1,IF(L14&lt;60,2,IF(L14&lt;80,3,4))),P14))</f>
        <v/>
      </c>
      <c r="R14" s="40"/>
      <c r="S14" s="37" t="str">
        <f t="shared" si="1"/>
        <v/>
      </c>
      <c r="T14" s="41" t="str">
        <f>IF(COUNTIFS(AN34:AN38,"확정 차단")&gt;0,"확정차단",IF(M14&lt;0.6,"자료보완",IF(N14&lt;50,"검토필수",IF(ISNUMBER(R14),"수동확정","추천완료"))))</f>
        <v>자료보완</v>
      </c>
      <c r="U14" s="57" t="s">
        <v>105</v>
      </c>
      <c r="V14" s="57" t="s">
        <v>106</v>
      </c>
      <c r="W14" s="19" t="s">
        <v>97</v>
      </c>
      <c r="X14" s="6" t="s">
        <v>149</v>
      </c>
      <c r="Y14" s="43">
        <v>0.2</v>
      </c>
      <c r="Z14" s="44">
        <v>0.2</v>
      </c>
      <c r="AA14" s="6" t="s">
        <v>210</v>
      </c>
      <c r="AB14" s="6" t="s">
        <v>99</v>
      </c>
      <c r="AC14" s="58" t="s">
        <v>162</v>
      </c>
      <c r="AD14" s="46" t="s">
        <v>101</v>
      </c>
      <c r="AE14" s="46" t="s">
        <v>101</v>
      </c>
      <c r="AF14" s="46" t="s">
        <v>101</v>
      </c>
      <c r="AG14" s="46" t="s">
        <v>101</v>
      </c>
      <c r="AH14" s="46" t="s">
        <v>101</v>
      </c>
      <c r="AI14" s="46" t="s">
        <v>101</v>
      </c>
      <c r="AJ14" s="27" t="str">
        <f t="shared" si="2"/>
        <v>ND</v>
      </c>
      <c r="AK14" s="47" t="str">
        <f t="shared" si="3"/>
        <v/>
      </c>
      <c r="AL14" s="27" t="str">
        <f t="shared" si="4"/>
        <v>증빙 미입증</v>
      </c>
      <c r="AM14" s="48"/>
      <c r="AN14" s="48" t="s">
        <v>109</v>
      </c>
    </row>
    <row r="15" ht="61.5" customHeight="1">
      <c r="B15" s="49"/>
      <c r="C15" s="50"/>
      <c r="D15" s="50"/>
      <c r="E15" s="50"/>
      <c r="F15" s="34" t="s">
        <v>119</v>
      </c>
      <c r="G15" s="35" t="s">
        <v>163</v>
      </c>
      <c r="H15" s="53" t="s">
        <v>164</v>
      </c>
      <c r="J15" s="19" t="s">
        <v>165</v>
      </c>
      <c r="K15" s="6" t="s">
        <v>166</v>
      </c>
      <c r="L15" s="37" t="str">
        <f>IF(COUNT(AK39:AK43)=0,"",100*SUM(AK39:AK43)/(COUNT(AK39:AK43)*0.2))</f>
        <v/>
      </c>
      <c r="M15" s="38">
        <f>COUNT(AK39:AK43)/5</f>
        <v>0</v>
      </c>
      <c r="N15" s="37">
        <f>IF(COUNTIFS(AD39:AD43,"☑")=0,0,100*(0.55*M15+0.45*((0.3*(COUNTIFS(AF39:AF43,"☑")+0.5*COUNTIFS(AD39:AD43,"☑",AF39:AF43,"☐"))+0.25*COUNTIFS(AE39:AE43,"☑")+0.2*COUNTIFS(AG39:AG43,"☑")+0.15*COUNTIFS(AH39:AH43,"☑")+0.1*COUNTIFS(AI39:AI43,"☑"))/COUNTIFS(AD39:AD43,"☑"))))</f>
        <v>0</v>
      </c>
      <c r="O15" s="27" t="str">
        <f>IF(COUNTIFS(AJ39:AJ43,"ND")&gt;0,"미판정",IF(COUNTIFS(AJ39:AJ43,"1.00")=5,"충족","미충족"))</f>
        <v>미판정</v>
      </c>
      <c r="P15" s="37">
        <f>MIN(IF(M15&lt;0.6,0,IF(M15&lt;0.85,3,4)),IF(O15="충족",4,3),IF(COUNTIFS(AN39:AN43,"확정 차단")&gt;0,0,IF(COUNTIFS(AN39:AN43,"1점 상한")&gt;0,1,4)))</f>
        <v>0</v>
      </c>
      <c r="Q15" s="37" t="str">
        <f>IF(OR(L15="",M15&lt;0.6,COUNTIFS(AN39:AN43,"확정 차단")&gt;0),"",MIN(IF(L15&lt;40,1,IF(L15&lt;60,2,IF(L15&lt;80,3,4))),P15))</f>
        <v/>
      </c>
      <c r="R15" s="40"/>
      <c r="S15" s="37" t="str">
        <f t="shared" si="1"/>
        <v/>
      </c>
      <c r="T15" s="41" t="str">
        <f>IF(COUNTIFS(AN39:AN43,"확정 차단")&gt;0,"확정차단",IF(M15&lt;0.6,"자료보완",IF(N15&lt;50,"검토필수",IF(ISNUMBER(R15),"수동확정","추천완료"))))</f>
        <v>자료보완</v>
      </c>
      <c r="U15" s="52"/>
      <c r="V15" s="52"/>
      <c r="W15" s="19" t="s">
        <v>117</v>
      </c>
      <c r="X15" s="6" t="s">
        <v>155</v>
      </c>
      <c r="Y15" s="43">
        <v>0.2</v>
      </c>
      <c r="Z15" s="44">
        <v>0.2</v>
      </c>
      <c r="AA15" s="6" t="s">
        <v>243</v>
      </c>
      <c r="AB15" s="6" t="s">
        <v>99</v>
      </c>
      <c r="AC15" s="52"/>
      <c r="AD15" s="46" t="s">
        <v>101</v>
      </c>
      <c r="AE15" s="46" t="s">
        <v>101</v>
      </c>
      <c r="AF15" s="46" t="s">
        <v>101</v>
      </c>
      <c r="AG15" s="46" t="s">
        <v>101</v>
      </c>
      <c r="AH15" s="46" t="s">
        <v>101</v>
      </c>
      <c r="AI15" s="46" t="s">
        <v>101</v>
      </c>
      <c r="AJ15" s="27" t="str">
        <f t="shared" si="2"/>
        <v>ND</v>
      </c>
      <c r="AK15" s="47" t="str">
        <f t="shared" si="3"/>
        <v/>
      </c>
      <c r="AL15" s="27" t="str">
        <f t="shared" si="4"/>
        <v>증빙 미입증</v>
      </c>
      <c r="AM15" s="48"/>
      <c r="AN15" s="48" t="s">
        <v>109</v>
      </c>
    </row>
    <row r="16" ht="61.5" customHeight="1">
      <c r="B16" s="59"/>
      <c r="C16" s="54"/>
      <c r="D16" s="54"/>
      <c r="E16" s="54"/>
      <c r="F16" s="34" t="s">
        <v>131</v>
      </c>
      <c r="G16" s="35" t="s">
        <v>173</v>
      </c>
      <c r="H16" s="55" t="s">
        <v>174</v>
      </c>
      <c r="J16" s="19" t="s">
        <v>175</v>
      </c>
      <c r="K16" s="6" t="s">
        <v>176</v>
      </c>
      <c r="L16" s="37" t="str">
        <f>IF(COUNT(AK44:AK48)=0,"",100*SUM(AK44:AK48)/(COUNT(AK44:AK48)*0.2))</f>
        <v/>
      </c>
      <c r="M16" s="38">
        <f>COUNT(AK44:AK48)/5</f>
        <v>0</v>
      </c>
      <c r="N16" s="37">
        <f>IF(COUNTIFS(AD44:AD48,"☑")=0,0,100*(0.55*M16+0.45*((0.3*(COUNTIFS(AF44:AF48,"☑")+0.5*COUNTIFS(AD44:AD48,"☑",AF44:AF48,"☐"))+0.25*COUNTIFS(AE44:AE48,"☑")+0.2*COUNTIFS(AG44:AG48,"☑")+0.15*COUNTIFS(AH44:AH48,"☑")+0.1*COUNTIFS(AI44:AI48,"☑"))/COUNTIFS(AD44:AD48,"☑"))))</f>
        <v>0</v>
      </c>
      <c r="O16" s="27" t="str">
        <f>IF(COUNTIFS(AJ44:AJ48,"ND")&gt;0,"미판정",IF(COUNTIFS(AJ44:AJ48,"1.00")=5,"충족","미충족"))</f>
        <v>미판정</v>
      </c>
      <c r="P16" s="37">
        <f>MIN(IF(M16&lt;0.6,0,IF(M16&lt;0.85,3,4)),IF(O16="충족",4,3),IF(COUNTIFS(AN44:AN48,"확정 차단")&gt;0,0,IF(COUNTIFS(AN44:AN48,"1점 상한")&gt;0,1,4)))</f>
        <v>0</v>
      </c>
      <c r="Q16" s="37" t="str">
        <f>IF(OR(L16="",M16&lt;0.6,COUNTIFS(AN44:AN48,"확정 차단")&gt;0),"",MIN(IF(L16&lt;40,1,IF(L16&lt;60,2,IF(L16&lt;80,3,4))),P16))</f>
        <v/>
      </c>
      <c r="R16" s="40"/>
      <c r="S16" s="37" t="str">
        <f t="shared" si="1"/>
        <v/>
      </c>
      <c r="T16" s="41" t="str">
        <f>IF(COUNTIFS(AN44:AN48,"확정 차단")&gt;0,"확정차단",IF(M16&lt;0.6,"자료보완",IF(N16&lt;50,"검토필수",IF(ISNUMBER(R16),"수동확정","추천완료"))))</f>
        <v>자료보완</v>
      </c>
      <c r="U16" s="52"/>
      <c r="V16" s="52"/>
      <c r="W16" s="19" t="s">
        <v>129</v>
      </c>
      <c r="X16" s="6" t="s">
        <v>169</v>
      </c>
      <c r="Y16" s="43">
        <v>0.2</v>
      </c>
      <c r="Z16" s="44">
        <v>0.2</v>
      </c>
      <c r="AA16" s="6" t="s">
        <v>277</v>
      </c>
      <c r="AB16" s="6" t="s">
        <v>99</v>
      </c>
      <c r="AC16" s="52"/>
      <c r="AD16" s="46" t="s">
        <v>101</v>
      </c>
      <c r="AE16" s="46" t="s">
        <v>101</v>
      </c>
      <c r="AF16" s="46" t="s">
        <v>101</v>
      </c>
      <c r="AG16" s="46" t="s">
        <v>101</v>
      </c>
      <c r="AH16" s="46" t="s">
        <v>101</v>
      </c>
      <c r="AI16" s="46" t="s">
        <v>101</v>
      </c>
      <c r="AJ16" s="27" t="str">
        <f t="shared" si="2"/>
        <v>ND</v>
      </c>
      <c r="AK16" s="47" t="str">
        <f t="shared" si="3"/>
        <v/>
      </c>
      <c r="AL16" s="27" t="str">
        <f t="shared" si="4"/>
        <v>증빙 미입증</v>
      </c>
      <c r="AM16" s="48"/>
      <c r="AN16" s="48" t="s">
        <v>109</v>
      </c>
    </row>
    <row r="17" ht="61.5" customHeight="1">
      <c r="B17" s="60" t="s">
        <v>182</v>
      </c>
      <c r="C17" s="61"/>
      <c r="D17" s="67" t="str">
        <f>IF(COUNT(D9,D13)&lt;2,"",AVERAGE(D9,D13)*3/4)</f>
        <v/>
      </c>
      <c r="E17" s="63" t="s">
        <v>289</v>
      </c>
      <c r="F17" s="64"/>
      <c r="G17" s="65"/>
      <c r="H17" s="66"/>
      <c r="J17" s="19" t="s">
        <v>184</v>
      </c>
      <c r="K17" s="6" t="s">
        <v>185</v>
      </c>
      <c r="L17" s="37" t="str">
        <f>IF(COUNT(AK49:AK53)=0,"",100*SUM(AK49:AK53)/(COUNT(AK49:AK53)*0.2))</f>
        <v/>
      </c>
      <c r="M17" s="38">
        <f>COUNT(AK49:AK53)/5</f>
        <v>0</v>
      </c>
      <c r="N17" s="37">
        <f>IF(COUNTIFS(AD49:AD53,"☑")=0,0,100*(0.55*M17+0.45*((0.3*(COUNTIFS(AF49:AF53,"☑")+0.5*COUNTIFS(AD49:AD53,"☑",AF49:AF53,"☐"))+0.25*COUNTIFS(AE49:AE53,"☑")+0.2*COUNTIFS(AG49:AG53,"☑")+0.15*COUNTIFS(AH49:AH53,"☑")+0.1*COUNTIFS(AI49:AI53,"☑"))/COUNTIFS(AD49:AD53,"☑"))))</f>
        <v>0</v>
      </c>
      <c r="O17" s="27" t="str">
        <f>IF(COUNTIFS(AJ49:AJ53,"ND")&gt;0,"미판정",IF(COUNTIFS(AJ49:AJ53,"1.00")=5,"충족","미충족"))</f>
        <v>미판정</v>
      </c>
      <c r="P17" s="37">
        <f>MIN(IF(M17&lt;0.6,0,IF(M17&lt;0.85,3,4)),IF(O17="충족",4,3),IF(COUNTIFS(AN49:AN53,"확정 차단")&gt;0,0,IF(COUNTIFS(AN49:AN53,"1점 상한")&gt;0,1,4)))</f>
        <v>0</v>
      </c>
      <c r="Q17" s="37" t="str">
        <f>IF(OR(L17="",M17&lt;0.6,COUNTIFS(AN49:AN53,"확정 차단")&gt;0),"",MIN(IF(L17&lt;40,1,IF(L17&lt;60,2,IF(L17&lt;80,3,4))),P17))</f>
        <v/>
      </c>
      <c r="R17" s="40"/>
      <c r="S17" s="37" t="str">
        <f t="shared" si="1"/>
        <v/>
      </c>
      <c r="T17" s="41" t="str">
        <f>IF(COUNTIFS(AN49:AN53,"확정 차단")&gt;0,"확정차단",IF(M17&lt;0.6,"자료보완",IF(N17&lt;50,"검토필수",IF(ISNUMBER(R17),"수동확정","추천완료"))))</f>
        <v>자료보완</v>
      </c>
      <c r="U17" s="52"/>
      <c r="V17" s="52"/>
      <c r="W17" s="19" t="s">
        <v>140</v>
      </c>
      <c r="X17" s="6" t="s">
        <v>180</v>
      </c>
      <c r="Y17" s="43">
        <v>0.2</v>
      </c>
      <c r="Z17" s="44">
        <v>0.2</v>
      </c>
      <c r="AA17" s="6" t="s">
        <v>315</v>
      </c>
      <c r="AB17" s="6" t="s">
        <v>99</v>
      </c>
      <c r="AC17" s="52"/>
      <c r="AD17" s="46" t="s">
        <v>101</v>
      </c>
      <c r="AE17" s="46" t="s">
        <v>101</v>
      </c>
      <c r="AF17" s="46" t="s">
        <v>101</v>
      </c>
      <c r="AG17" s="46" t="s">
        <v>101</v>
      </c>
      <c r="AH17" s="46" t="s">
        <v>101</v>
      </c>
      <c r="AI17" s="46" t="s">
        <v>101</v>
      </c>
      <c r="AJ17" s="27" t="str">
        <f t="shared" si="2"/>
        <v>ND</v>
      </c>
      <c r="AK17" s="47" t="str">
        <f t="shared" si="3"/>
        <v/>
      </c>
      <c r="AL17" s="27" t="str">
        <f t="shared" si="4"/>
        <v>증빙 미입증</v>
      </c>
      <c r="AM17" s="48"/>
      <c r="AN17" s="48" t="s">
        <v>109</v>
      </c>
    </row>
    <row r="18" ht="61.5" customHeight="1">
      <c r="B18" s="28" t="s">
        <v>128</v>
      </c>
      <c r="C18" s="30" t="s">
        <v>190</v>
      </c>
      <c r="D18" s="31" t="str">
        <f>IF(S11="","",S11)</f>
        <v/>
      </c>
      <c r="E18" s="33" t="s">
        <v>93</v>
      </c>
      <c r="F18" s="34" t="s">
        <v>94</v>
      </c>
      <c r="G18" s="35" t="s">
        <v>195</v>
      </c>
      <c r="H18" s="36" t="s">
        <v>196</v>
      </c>
      <c r="J18" s="19" t="s">
        <v>197</v>
      </c>
      <c r="K18" s="6" t="s">
        <v>198</v>
      </c>
      <c r="L18" s="37" t="str">
        <f>IF(COUNT(AK54:AK58)=0,"",100*SUM(AK54:AK58)/(COUNT(AK54:AK58)*0.2))</f>
        <v/>
      </c>
      <c r="M18" s="38">
        <f>COUNT(AK54:AK58)/5</f>
        <v>0</v>
      </c>
      <c r="N18" s="37">
        <f>IF(COUNTIFS(AD54:AD58,"☑")=0,0,100*(0.55*M18+0.45*((0.3*(COUNTIFS(AF54:AF58,"☑")+0.5*COUNTIFS(AD54:AD58,"☑",AF54:AF58,"☐"))+0.25*COUNTIFS(AE54:AE58,"☑")+0.2*COUNTIFS(AG54:AG58,"☑")+0.15*COUNTIFS(AH54:AH58,"☑")+0.1*COUNTIFS(AI54:AI58,"☑"))/COUNTIFS(AD54:AD58,"☑"))))</f>
        <v>0</v>
      </c>
      <c r="O18" s="27" t="str">
        <f>IF(COUNTIFS(AJ54:AJ58,"ND")&gt;0,"미판정",IF(COUNTIFS(AJ54:AJ58,"1.00")=5,"충족","미충족"))</f>
        <v>미판정</v>
      </c>
      <c r="P18" s="37">
        <f>MIN(IF(M18&lt;0.6,0,IF(M18&lt;0.85,3,4)),IF(O18="충족",4,3),IF(COUNTIFS(AN54:AN58,"확정 차단")&gt;0,0,IF(COUNTIFS(AN54:AN58,"1점 상한")&gt;0,1,4)))</f>
        <v>0</v>
      </c>
      <c r="Q18" s="37" t="str">
        <f>IF(OR(L18="",M18&lt;0.6,COUNTIFS(AN54:AN58,"확정 차단")&gt;0),"",MIN(IF(L18&lt;40,1,IF(L18&lt;60,2,IF(L18&lt;80,3,4))),P18))</f>
        <v/>
      </c>
      <c r="R18" s="40"/>
      <c r="S18" s="37" t="str">
        <f t="shared" si="1"/>
        <v/>
      </c>
      <c r="T18" s="41" t="str">
        <f>IF(COUNTIFS(AN54:AN58,"확정 차단")&gt;0,"확정차단",IF(M18&lt;0.6,"자료보완",IF(N18&lt;50,"검토필수",IF(ISNUMBER(R18),"수동확정","추천완료"))))</f>
        <v>자료보완</v>
      </c>
      <c r="U18" s="56"/>
      <c r="V18" s="56"/>
      <c r="W18" s="19" t="s">
        <v>152</v>
      </c>
      <c r="X18" s="6" t="s">
        <v>187</v>
      </c>
      <c r="Y18" s="43">
        <v>0.2</v>
      </c>
      <c r="Z18" s="44">
        <v>0.2</v>
      </c>
      <c r="AA18" s="6" t="s">
        <v>360</v>
      </c>
      <c r="AB18" s="6" t="s">
        <v>99</v>
      </c>
      <c r="AC18" s="56"/>
      <c r="AD18" s="46" t="s">
        <v>101</v>
      </c>
      <c r="AE18" s="46" t="s">
        <v>101</v>
      </c>
      <c r="AF18" s="46" t="s">
        <v>101</v>
      </c>
      <c r="AG18" s="46" t="s">
        <v>101</v>
      </c>
      <c r="AH18" s="46" t="s">
        <v>101</v>
      </c>
      <c r="AI18" s="46" t="s">
        <v>101</v>
      </c>
      <c r="AJ18" s="27" t="str">
        <f t="shared" si="2"/>
        <v>ND</v>
      </c>
      <c r="AK18" s="47" t="str">
        <f t="shared" si="3"/>
        <v/>
      </c>
      <c r="AL18" s="27" t="str">
        <f t="shared" si="4"/>
        <v>증빙 미입증</v>
      </c>
      <c r="AM18" s="48"/>
      <c r="AN18" s="48" t="s">
        <v>109</v>
      </c>
    </row>
    <row r="19" ht="61.5" customHeight="1">
      <c r="B19" s="49"/>
      <c r="C19" s="50"/>
      <c r="D19" s="50"/>
      <c r="E19" s="50"/>
      <c r="F19" s="34" t="s">
        <v>110</v>
      </c>
      <c r="G19" s="35" t="s">
        <v>200</v>
      </c>
      <c r="H19" s="51" t="s">
        <v>201</v>
      </c>
      <c r="J19" s="19" t="s">
        <v>202</v>
      </c>
      <c r="K19" s="6" t="s">
        <v>203</v>
      </c>
      <c r="L19" s="37" t="str">
        <f>IF(COUNT(AK59:AK63)=0,"",100*SUM(AK59:AK63)/(COUNT(AK59:AK63)*0.2))</f>
        <v/>
      </c>
      <c r="M19" s="38">
        <f>COUNT(AK59:AK63)/5</f>
        <v>0</v>
      </c>
      <c r="N19" s="37">
        <f>IF(COUNTIFS(AD59:AD63,"☑")=0,0,100*(0.55*M19+0.45*((0.3*(COUNTIFS(AF59:AF63,"☑")+0.5*COUNTIFS(AD59:AD63,"☑",AF59:AF63,"☐"))+0.25*COUNTIFS(AE59:AE63,"☑")+0.2*COUNTIFS(AG59:AG63,"☑")+0.15*COUNTIFS(AH59:AH63,"☑")+0.1*COUNTIFS(AI59:AI63,"☑"))/COUNTIFS(AD59:AD63,"☑"))))</f>
        <v>0</v>
      </c>
      <c r="O19" s="27" t="str">
        <f>IF(COUNTIFS(AJ59:AJ63,"ND")&gt;0,"미판정",IF(COUNTIFS(AJ59:AJ63,"1.00")=5,"충족","미충족"))</f>
        <v>미판정</v>
      </c>
      <c r="P19" s="37">
        <f>MIN(IF(M19&lt;0.6,0,IF(M19&lt;0.85,3,4)),IF(O19="충족",4,3),IF(COUNTIFS(AN59:AN63,"확정 차단")&gt;0,0,IF(COUNTIFS(AN59:AN63,"1점 상한")&gt;0,1,4)))</f>
        <v>0</v>
      </c>
      <c r="Q19" s="37" t="str">
        <f>IF(OR(L19="",M19&lt;0.6,COUNTIFS(AN59:AN63,"확정 차단")&gt;0),"",MIN(IF(L19&lt;40,1,IF(L19&lt;60,2,IF(L19&lt;80,3,4))),P19))</f>
        <v/>
      </c>
      <c r="R19" s="40"/>
      <c r="S19" s="37" t="str">
        <f t="shared" si="1"/>
        <v/>
      </c>
      <c r="T19" s="41" t="str">
        <f>IF(COUNTIFS(AN59:AN63,"확정 차단")&gt;0,"확정차단",IF(M19&lt;0.6,"자료보완",IF(N19&lt;50,"검토필수",IF(ISNUMBER(R19),"수동확정","추천완료"))))</f>
        <v>자료보완</v>
      </c>
      <c r="U19" s="42" t="s">
        <v>122</v>
      </c>
      <c r="V19" s="42" t="s">
        <v>123</v>
      </c>
      <c r="W19" s="19" t="s">
        <v>97</v>
      </c>
      <c r="X19" s="6" t="s">
        <v>194</v>
      </c>
      <c r="Y19" s="43">
        <v>0.2</v>
      </c>
      <c r="Z19" s="44">
        <v>0.2</v>
      </c>
      <c r="AA19" s="6" t="s">
        <v>392</v>
      </c>
      <c r="AB19" s="6" t="s">
        <v>99</v>
      </c>
      <c r="AC19" s="45" t="s">
        <v>209</v>
      </c>
      <c r="AD19" s="46" t="s">
        <v>101</v>
      </c>
      <c r="AE19" s="46" t="s">
        <v>101</v>
      </c>
      <c r="AF19" s="46" t="s">
        <v>101</v>
      </c>
      <c r="AG19" s="46" t="s">
        <v>101</v>
      </c>
      <c r="AH19" s="46" t="s">
        <v>101</v>
      </c>
      <c r="AI19" s="46" t="s">
        <v>101</v>
      </c>
      <c r="AJ19" s="27" t="str">
        <f t="shared" si="2"/>
        <v>ND</v>
      </c>
      <c r="AK19" s="47" t="str">
        <f t="shared" si="3"/>
        <v/>
      </c>
      <c r="AL19" s="27" t="str">
        <f t="shared" si="4"/>
        <v>증빙 미입증</v>
      </c>
      <c r="AM19" s="48"/>
      <c r="AN19" s="48" t="s">
        <v>109</v>
      </c>
    </row>
    <row r="20" ht="61.5" customHeight="1">
      <c r="B20" s="49"/>
      <c r="C20" s="50"/>
      <c r="D20" s="50"/>
      <c r="E20" s="50"/>
      <c r="F20" s="34" t="s">
        <v>119</v>
      </c>
      <c r="G20" s="35" t="s">
        <v>211</v>
      </c>
      <c r="H20" s="53" t="s">
        <v>212</v>
      </c>
      <c r="J20" s="19" t="s">
        <v>398</v>
      </c>
      <c r="K20" s="6" t="s">
        <v>399</v>
      </c>
      <c r="L20" s="37" t="str">
        <f>IF(COUNT(AK64:AK68)=0,"",100*SUM(AK64:AK68)/(COUNT(AK64:AK68)*0.2))</f>
        <v/>
      </c>
      <c r="M20" s="38">
        <f>COUNT(AK64:AK68)/5</f>
        <v>0</v>
      </c>
      <c r="N20" s="37">
        <f>IF(COUNTIFS(AD64:AD68,"☑")=0,0,100*(0.55*M20+0.45*((0.3*(COUNTIFS(AF64:AF68,"☑")+0.5*COUNTIFS(AD64:AD68,"☑",AF64:AF68,"☐"))+0.25*COUNTIFS(AE64:AE68,"☑")+0.2*COUNTIFS(AG64:AG68,"☑")+0.15*COUNTIFS(AH64:AH68,"☑")+0.1*COUNTIFS(AI64:AI68,"☑"))/COUNTIFS(AD64:AD68,"☑"))))</f>
        <v>0</v>
      </c>
      <c r="O20" s="27" t="str">
        <f>IF(COUNTIFS(AJ64:AJ68,"ND")&gt;0,"미판정",IF(COUNTIFS(AJ64:AJ68,"1.00")=5,"충족","미충족"))</f>
        <v>미판정</v>
      </c>
      <c r="P20" s="37">
        <f>MIN(IF(M20&lt;0.6,0,IF(M20&lt;0.85,3,4)),IF(O20="충족",4,3),IF(COUNTIFS(AN64:AN68,"확정 차단")&gt;0,0,IF(COUNTIFS(AN64:AN68,"1점 상한")&gt;0,1,4)))</f>
        <v>0</v>
      </c>
      <c r="Q20" s="37" t="str">
        <f>IF(OR(L20="",M20&lt;0.6,COUNTIFS(AN64:AN68,"확정 차단")&gt;0),"",MIN(IF(L20&lt;40,1,IF(L20&lt;60,2,IF(L20&lt;80,3,4))),P20))</f>
        <v/>
      </c>
      <c r="R20" s="40"/>
      <c r="S20" s="37" t="str">
        <f t="shared" si="1"/>
        <v/>
      </c>
      <c r="T20" s="41" t="str">
        <f>IF(COUNTIFS(AN64:AN68,"확정 차단")&gt;0,"확정차단",IF(M20&lt;0.6,"자료보완",IF(N20&lt;50,"검토필수",IF(ISNUMBER(R20),"수동확정","추천완료"))))</f>
        <v>자료보완</v>
      </c>
      <c r="U20" s="52"/>
      <c r="V20" s="52"/>
      <c r="W20" s="19" t="s">
        <v>117</v>
      </c>
      <c r="X20" s="6" t="s">
        <v>207</v>
      </c>
      <c r="Y20" s="43">
        <v>0.2</v>
      </c>
      <c r="Z20" s="44">
        <v>0.2</v>
      </c>
      <c r="AA20" s="6" t="s">
        <v>404</v>
      </c>
      <c r="AB20" s="6" t="s">
        <v>99</v>
      </c>
      <c r="AC20" s="52"/>
      <c r="AD20" s="46" t="s">
        <v>101</v>
      </c>
      <c r="AE20" s="46" t="s">
        <v>101</v>
      </c>
      <c r="AF20" s="46" t="s">
        <v>101</v>
      </c>
      <c r="AG20" s="46" t="s">
        <v>101</v>
      </c>
      <c r="AH20" s="46" t="s">
        <v>101</v>
      </c>
      <c r="AI20" s="46" t="s">
        <v>101</v>
      </c>
      <c r="AJ20" s="27" t="str">
        <f t="shared" si="2"/>
        <v>ND</v>
      </c>
      <c r="AK20" s="47" t="str">
        <f t="shared" si="3"/>
        <v/>
      </c>
      <c r="AL20" s="27" t="str">
        <f t="shared" si="4"/>
        <v>증빙 미입증</v>
      </c>
      <c r="AM20" s="48"/>
      <c r="AN20" s="48" t="s">
        <v>109</v>
      </c>
    </row>
    <row r="21" ht="61.5" customHeight="1">
      <c r="B21" s="49"/>
      <c r="C21" s="54"/>
      <c r="D21" s="54"/>
      <c r="E21" s="54"/>
      <c r="F21" s="34" t="s">
        <v>131</v>
      </c>
      <c r="G21" s="35" t="s">
        <v>214</v>
      </c>
      <c r="H21" s="55" t="s">
        <v>215</v>
      </c>
      <c r="U21" s="52"/>
      <c r="V21" s="52"/>
      <c r="W21" s="19" t="s">
        <v>129</v>
      </c>
      <c r="X21" s="6" t="s">
        <v>216</v>
      </c>
      <c r="Y21" s="43">
        <v>0.2</v>
      </c>
      <c r="Z21" s="44">
        <v>0.2</v>
      </c>
      <c r="AA21" s="6" t="s">
        <v>406</v>
      </c>
      <c r="AB21" s="6" t="s">
        <v>99</v>
      </c>
      <c r="AC21" s="52"/>
      <c r="AD21" s="46" t="s">
        <v>101</v>
      </c>
      <c r="AE21" s="46" t="s">
        <v>101</v>
      </c>
      <c r="AF21" s="46" t="s">
        <v>101</v>
      </c>
      <c r="AG21" s="46" t="s">
        <v>101</v>
      </c>
      <c r="AH21" s="46" t="s">
        <v>101</v>
      </c>
      <c r="AI21" s="46" t="s">
        <v>101</v>
      </c>
      <c r="AJ21" s="27" t="str">
        <f t="shared" si="2"/>
        <v>ND</v>
      </c>
      <c r="AK21" s="47" t="str">
        <f t="shared" si="3"/>
        <v/>
      </c>
      <c r="AL21" s="27" t="str">
        <f t="shared" si="4"/>
        <v>증빙 미입증</v>
      </c>
      <c r="AM21" s="48"/>
      <c r="AN21" s="48" t="s">
        <v>109</v>
      </c>
    </row>
    <row r="22" ht="61.5" customHeight="1">
      <c r="B22" s="49"/>
      <c r="C22" s="30" t="s">
        <v>219</v>
      </c>
      <c r="D22" s="31" t="str">
        <f>IF(S12="","",S12)</f>
        <v/>
      </c>
      <c r="E22" s="33" t="s">
        <v>93</v>
      </c>
      <c r="F22" s="34" t="s">
        <v>94</v>
      </c>
      <c r="G22" s="35" t="s">
        <v>221</v>
      </c>
      <c r="H22" s="36" t="s">
        <v>222</v>
      </c>
      <c r="U22" s="52"/>
      <c r="V22" s="52"/>
      <c r="W22" s="19" t="s">
        <v>140</v>
      </c>
      <c r="X22" s="6" t="s">
        <v>223</v>
      </c>
      <c r="Y22" s="43">
        <v>0.2</v>
      </c>
      <c r="Z22" s="44">
        <v>0.2</v>
      </c>
      <c r="AA22" s="6" t="s">
        <v>411</v>
      </c>
      <c r="AB22" s="6" t="s">
        <v>99</v>
      </c>
      <c r="AC22" s="52"/>
      <c r="AD22" s="46" t="s">
        <v>101</v>
      </c>
      <c r="AE22" s="46" t="s">
        <v>101</v>
      </c>
      <c r="AF22" s="46" t="s">
        <v>101</v>
      </c>
      <c r="AG22" s="46" t="s">
        <v>101</v>
      </c>
      <c r="AH22" s="46" t="s">
        <v>101</v>
      </c>
      <c r="AI22" s="46" t="s">
        <v>101</v>
      </c>
      <c r="AJ22" s="27" t="str">
        <f t="shared" si="2"/>
        <v>ND</v>
      </c>
      <c r="AK22" s="47" t="str">
        <f t="shared" si="3"/>
        <v/>
      </c>
      <c r="AL22" s="27" t="str">
        <f t="shared" si="4"/>
        <v>증빙 미입증</v>
      </c>
      <c r="AM22" s="48"/>
      <c r="AN22" s="48" t="s">
        <v>109</v>
      </c>
    </row>
    <row r="23" ht="61.5" customHeight="1">
      <c r="B23" s="49"/>
      <c r="C23" s="50"/>
      <c r="D23" s="50"/>
      <c r="E23" s="50"/>
      <c r="F23" s="34" t="s">
        <v>110</v>
      </c>
      <c r="G23" s="35" t="s">
        <v>200</v>
      </c>
      <c r="H23" s="51" t="s">
        <v>225</v>
      </c>
      <c r="U23" s="56"/>
      <c r="V23" s="56"/>
      <c r="W23" s="19" t="s">
        <v>152</v>
      </c>
      <c r="X23" s="6" t="s">
        <v>226</v>
      </c>
      <c r="Y23" s="43">
        <v>0.2</v>
      </c>
      <c r="Z23" s="44">
        <v>0.2</v>
      </c>
      <c r="AA23" s="6" t="s">
        <v>412</v>
      </c>
      <c r="AB23" s="6" t="s">
        <v>99</v>
      </c>
      <c r="AC23" s="56"/>
      <c r="AD23" s="46" t="s">
        <v>101</v>
      </c>
      <c r="AE23" s="46" t="s">
        <v>101</v>
      </c>
      <c r="AF23" s="46" t="s">
        <v>101</v>
      </c>
      <c r="AG23" s="46" t="s">
        <v>101</v>
      </c>
      <c r="AH23" s="46" t="s">
        <v>101</v>
      </c>
      <c r="AI23" s="46" t="s">
        <v>101</v>
      </c>
      <c r="AJ23" s="27" t="str">
        <f t="shared" si="2"/>
        <v>ND</v>
      </c>
      <c r="AK23" s="47" t="str">
        <f t="shared" si="3"/>
        <v/>
      </c>
      <c r="AL23" s="27" t="str">
        <f t="shared" si="4"/>
        <v>증빙 미입증</v>
      </c>
      <c r="AM23" s="48"/>
      <c r="AN23" s="48" t="s">
        <v>109</v>
      </c>
    </row>
    <row r="24" ht="61.5" customHeight="1">
      <c r="B24" s="49"/>
      <c r="C24" s="50"/>
      <c r="D24" s="50"/>
      <c r="E24" s="50"/>
      <c r="F24" s="34" t="s">
        <v>119</v>
      </c>
      <c r="G24" s="35" t="s">
        <v>211</v>
      </c>
      <c r="H24" s="53" t="s">
        <v>228</v>
      </c>
      <c r="U24" s="57" t="s">
        <v>134</v>
      </c>
      <c r="V24" s="57" t="s">
        <v>135</v>
      </c>
      <c r="W24" s="19" t="s">
        <v>97</v>
      </c>
      <c r="X24" s="6" t="s">
        <v>229</v>
      </c>
      <c r="Y24" s="43">
        <v>0.2</v>
      </c>
      <c r="Z24" s="44">
        <v>0.2</v>
      </c>
      <c r="AA24" s="6" t="s">
        <v>413</v>
      </c>
      <c r="AB24" s="6" t="s">
        <v>99</v>
      </c>
      <c r="AC24" s="58" t="s">
        <v>231</v>
      </c>
      <c r="AD24" s="46" t="s">
        <v>101</v>
      </c>
      <c r="AE24" s="46" t="s">
        <v>101</v>
      </c>
      <c r="AF24" s="46" t="s">
        <v>101</v>
      </c>
      <c r="AG24" s="46" t="s">
        <v>101</v>
      </c>
      <c r="AH24" s="46" t="s">
        <v>101</v>
      </c>
      <c r="AI24" s="46" t="s">
        <v>101</v>
      </c>
      <c r="AJ24" s="27" t="str">
        <f t="shared" si="2"/>
        <v>ND</v>
      </c>
      <c r="AK24" s="47" t="str">
        <f t="shared" si="3"/>
        <v/>
      </c>
      <c r="AL24" s="27" t="str">
        <f t="shared" si="4"/>
        <v>증빙 미입증</v>
      </c>
      <c r="AM24" s="48"/>
      <c r="AN24" s="48" t="s">
        <v>109</v>
      </c>
    </row>
    <row r="25" ht="61.5" customHeight="1">
      <c r="B25" s="59"/>
      <c r="C25" s="54"/>
      <c r="D25" s="54"/>
      <c r="E25" s="54"/>
      <c r="F25" s="34" t="s">
        <v>131</v>
      </c>
      <c r="G25" s="35" t="s">
        <v>214</v>
      </c>
      <c r="H25" s="55" t="s">
        <v>234</v>
      </c>
      <c r="U25" s="52"/>
      <c r="V25" s="52"/>
      <c r="W25" s="19" t="s">
        <v>117</v>
      </c>
      <c r="X25" s="6" t="s">
        <v>235</v>
      </c>
      <c r="Y25" s="43">
        <v>0.2</v>
      </c>
      <c r="Z25" s="44">
        <v>0.2</v>
      </c>
      <c r="AA25" s="6" t="s">
        <v>414</v>
      </c>
      <c r="AB25" s="6" t="s">
        <v>99</v>
      </c>
      <c r="AC25" s="52"/>
      <c r="AD25" s="46" t="s">
        <v>101</v>
      </c>
      <c r="AE25" s="46" t="s">
        <v>101</v>
      </c>
      <c r="AF25" s="46" t="s">
        <v>101</v>
      </c>
      <c r="AG25" s="46" t="s">
        <v>101</v>
      </c>
      <c r="AH25" s="46" t="s">
        <v>101</v>
      </c>
      <c r="AI25" s="46" t="s">
        <v>101</v>
      </c>
      <c r="AJ25" s="27" t="str">
        <f t="shared" si="2"/>
        <v>ND</v>
      </c>
      <c r="AK25" s="47" t="str">
        <f t="shared" si="3"/>
        <v/>
      </c>
      <c r="AL25" s="27" t="str">
        <f t="shared" si="4"/>
        <v>증빙 미입증</v>
      </c>
      <c r="AM25" s="48"/>
      <c r="AN25" s="48" t="s">
        <v>109</v>
      </c>
    </row>
    <row r="26" ht="61.5" customHeight="1">
      <c r="B26" s="60" t="s">
        <v>237</v>
      </c>
      <c r="C26" s="61"/>
      <c r="D26" s="67" t="str">
        <f>IF(COUNT(D18,D22)&lt;2,"",AVERAGE(D18,D22)*3/4)</f>
        <v/>
      </c>
      <c r="E26" s="63" t="s">
        <v>289</v>
      </c>
      <c r="F26" s="64"/>
      <c r="G26" s="65"/>
      <c r="H26" s="66"/>
      <c r="U26" s="52"/>
      <c r="V26" s="52"/>
      <c r="W26" s="19" t="s">
        <v>129</v>
      </c>
      <c r="X26" s="6" t="s">
        <v>239</v>
      </c>
      <c r="Y26" s="43">
        <v>0.2</v>
      </c>
      <c r="Z26" s="44">
        <v>0.2</v>
      </c>
      <c r="AA26" s="6" t="s">
        <v>419</v>
      </c>
      <c r="AB26" s="6" t="s">
        <v>99</v>
      </c>
      <c r="AC26" s="52"/>
      <c r="AD26" s="46" t="s">
        <v>101</v>
      </c>
      <c r="AE26" s="46" t="s">
        <v>101</v>
      </c>
      <c r="AF26" s="46" t="s">
        <v>101</v>
      </c>
      <c r="AG26" s="46" t="s">
        <v>101</v>
      </c>
      <c r="AH26" s="46" t="s">
        <v>101</v>
      </c>
      <c r="AI26" s="46" t="s">
        <v>101</v>
      </c>
      <c r="AJ26" s="27" t="str">
        <f t="shared" si="2"/>
        <v>ND</v>
      </c>
      <c r="AK26" s="47" t="str">
        <f t="shared" si="3"/>
        <v/>
      </c>
      <c r="AL26" s="27" t="str">
        <f t="shared" si="4"/>
        <v>증빙 미입증</v>
      </c>
      <c r="AM26" s="48"/>
      <c r="AN26" s="48" t="s">
        <v>109</v>
      </c>
    </row>
    <row r="27" ht="61.5" customHeight="1">
      <c r="B27" s="28" t="s">
        <v>171</v>
      </c>
      <c r="C27" s="30" t="s">
        <v>242</v>
      </c>
      <c r="D27" s="31" t="str">
        <f>IF(S13="","",S13)</f>
        <v/>
      </c>
      <c r="E27" s="33" t="s">
        <v>93</v>
      </c>
      <c r="F27" s="34" t="s">
        <v>94</v>
      </c>
      <c r="G27" s="35" t="s">
        <v>244</v>
      </c>
      <c r="H27" s="36" t="s">
        <v>245</v>
      </c>
      <c r="U27" s="52"/>
      <c r="V27" s="52"/>
      <c r="W27" s="19" t="s">
        <v>140</v>
      </c>
      <c r="X27" s="6" t="s">
        <v>246</v>
      </c>
      <c r="Y27" s="43">
        <v>0.2</v>
      </c>
      <c r="Z27" s="44">
        <v>0.2</v>
      </c>
      <c r="AA27" s="6" t="s">
        <v>421</v>
      </c>
      <c r="AB27" s="6" t="s">
        <v>99</v>
      </c>
      <c r="AC27" s="52"/>
      <c r="AD27" s="46" t="s">
        <v>101</v>
      </c>
      <c r="AE27" s="46" t="s">
        <v>101</v>
      </c>
      <c r="AF27" s="46" t="s">
        <v>101</v>
      </c>
      <c r="AG27" s="46" t="s">
        <v>101</v>
      </c>
      <c r="AH27" s="46" t="s">
        <v>101</v>
      </c>
      <c r="AI27" s="46" t="s">
        <v>101</v>
      </c>
      <c r="AJ27" s="27" t="str">
        <f t="shared" si="2"/>
        <v>ND</v>
      </c>
      <c r="AK27" s="47" t="str">
        <f t="shared" si="3"/>
        <v/>
      </c>
      <c r="AL27" s="27" t="str">
        <f t="shared" si="4"/>
        <v>증빙 미입증</v>
      </c>
      <c r="AM27" s="48"/>
      <c r="AN27" s="48" t="s">
        <v>109</v>
      </c>
    </row>
    <row r="28" ht="61.5" customHeight="1">
      <c r="B28" s="49"/>
      <c r="C28" s="50"/>
      <c r="D28" s="50"/>
      <c r="E28" s="50"/>
      <c r="F28" s="34" t="s">
        <v>110</v>
      </c>
      <c r="G28" s="35" t="s">
        <v>248</v>
      </c>
      <c r="H28" s="51" t="s">
        <v>249</v>
      </c>
      <c r="U28" s="56"/>
      <c r="V28" s="56"/>
      <c r="W28" s="19" t="s">
        <v>152</v>
      </c>
      <c r="X28" s="6" t="s">
        <v>250</v>
      </c>
      <c r="Y28" s="43">
        <v>0.2</v>
      </c>
      <c r="Z28" s="44">
        <v>0.2</v>
      </c>
      <c r="AA28" s="6" t="s">
        <v>424</v>
      </c>
      <c r="AB28" s="6" t="s">
        <v>99</v>
      </c>
      <c r="AC28" s="56"/>
      <c r="AD28" s="46" t="s">
        <v>101</v>
      </c>
      <c r="AE28" s="46" t="s">
        <v>101</v>
      </c>
      <c r="AF28" s="46" t="s">
        <v>101</v>
      </c>
      <c r="AG28" s="46" t="s">
        <v>101</v>
      </c>
      <c r="AH28" s="46" t="s">
        <v>101</v>
      </c>
      <c r="AI28" s="46" t="s">
        <v>101</v>
      </c>
      <c r="AJ28" s="27" t="str">
        <f t="shared" si="2"/>
        <v>ND</v>
      </c>
      <c r="AK28" s="47" t="str">
        <f t="shared" si="3"/>
        <v/>
      </c>
      <c r="AL28" s="27" t="str">
        <f t="shared" si="4"/>
        <v>증빙 미입증</v>
      </c>
      <c r="AM28" s="48"/>
      <c r="AN28" s="48" t="s">
        <v>109</v>
      </c>
    </row>
    <row r="29" ht="61.5" customHeight="1">
      <c r="B29" s="49"/>
      <c r="C29" s="50"/>
      <c r="D29" s="50"/>
      <c r="E29" s="50"/>
      <c r="F29" s="34" t="s">
        <v>119</v>
      </c>
      <c r="G29" s="35" t="s">
        <v>252</v>
      </c>
      <c r="H29" s="53" t="s">
        <v>253</v>
      </c>
      <c r="U29" s="42" t="s">
        <v>146</v>
      </c>
      <c r="V29" s="42" t="s">
        <v>147</v>
      </c>
      <c r="W29" s="19" t="s">
        <v>97</v>
      </c>
      <c r="X29" s="6" t="s">
        <v>255</v>
      </c>
      <c r="Y29" s="43">
        <v>0.2</v>
      </c>
      <c r="Z29" s="44">
        <v>0.2</v>
      </c>
      <c r="AA29" s="6" t="s">
        <v>425</v>
      </c>
      <c r="AB29" s="6" t="s">
        <v>99</v>
      </c>
      <c r="AC29" s="45" t="s">
        <v>257</v>
      </c>
      <c r="AD29" s="46" t="s">
        <v>101</v>
      </c>
      <c r="AE29" s="46" t="s">
        <v>101</v>
      </c>
      <c r="AF29" s="46" t="s">
        <v>101</v>
      </c>
      <c r="AG29" s="46" t="s">
        <v>101</v>
      </c>
      <c r="AH29" s="46" t="s">
        <v>101</v>
      </c>
      <c r="AI29" s="46" t="s">
        <v>101</v>
      </c>
      <c r="AJ29" s="27" t="str">
        <f t="shared" si="2"/>
        <v>ND</v>
      </c>
      <c r="AK29" s="47" t="str">
        <f t="shared" si="3"/>
        <v/>
      </c>
      <c r="AL29" s="27" t="str">
        <f t="shared" si="4"/>
        <v>증빙 미입증</v>
      </c>
      <c r="AM29" s="48"/>
      <c r="AN29" s="48" t="s">
        <v>109</v>
      </c>
    </row>
    <row r="30" ht="61.5" customHeight="1">
      <c r="B30" s="49"/>
      <c r="C30" s="54"/>
      <c r="D30" s="54"/>
      <c r="E30" s="54"/>
      <c r="F30" s="34" t="s">
        <v>131</v>
      </c>
      <c r="G30" s="35" t="s">
        <v>260</v>
      </c>
      <c r="H30" s="55" t="s">
        <v>261</v>
      </c>
      <c r="U30" s="52"/>
      <c r="V30" s="52"/>
      <c r="W30" s="19" t="s">
        <v>117</v>
      </c>
      <c r="X30" s="6" t="s">
        <v>262</v>
      </c>
      <c r="Y30" s="43">
        <v>0.2</v>
      </c>
      <c r="Z30" s="44">
        <v>0.2</v>
      </c>
      <c r="AA30" s="6" t="s">
        <v>428</v>
      </c>
      <c r="AB30" s="6" t="s">
        <v>99</v>
      </c>
      <c r="AC30" s="52"/>
      <c r="AD30" s="46" t="s">
        <v>101</v>
      </c>
      <c r="AE30" s="46" t="s">
        <v>101</v>
      </c>
      <c r="AF30" s="46" t="s">
        <v>101</v>
      </c>
      <c r="AG30" s="46" t="s">
        <v>101</v>
      </c>
      <c r="AH30" s="46" t="s">
        <v>101</v>
      </c>
      <c r="AI30" s="46" t="s">
        <v>101</v>
      </c>
      <c r="AJ30" s="27" t="str">
        <f t="shared" si="2"/>
        <v>ND</v>
      </c>
      <c r="AK30" s="47" t="str">
        <f t="shared" si="3"/>
        <v/>
      </c>
      <c r="AL30" s="27" t="str">
        <f t="shared" si="4"/>
        <v>증빙 미입증</v>
      </c>
      <c r="AM30" s="48"/>
      <c r="AN30" s="48" t="s">
        <v>109</v>
      </c>
    </row>
    <row r="31" ht="61.5" customHeight="1">
      <c r="B31" s="49"/>
      <c r="C31" s="30" t="s">
        <v>264</v>
      </c>
      <c r="D31" s="31" t="str">
        <f>IF(S14="","",S14)</f>
        <v/>
      </c>
      <c r="E31" s="33" t="s">
        <v>93</v>
      </c>
      <c r="F31" s="34" t="s">
        <v>94</v>
      </c>
      <c r="G31" s="35" t="s">
        <v>265</v>
      </c>
      <c r="H31" s="36" t="s">
        <v>266</v>
      </c>
      <c r="U31" s="52"/>
      <c r="V31" s="52"/>
      <c r="W31" s="19" t="s">
        <v>129</v>
      </c>
      <c r="X31" s="6" t="s">
        <v>268</v>
      </c>
      <c r="Y31" s="43">
        <v>0.2</v>
      </c>
      <c r="Z31" s="44">
        <v>0.2</v>
      </c>
      <c r="AA31" s="6" t="s">
        <v>431</v>
      </c>
      <c r="AB31" s="6" t="s">
        <v>99</v>
      </c>
      <c r="AC31" s="52"/>
      <c r="AD31" s="46" t="s">
        <v>101</v>
      </c>
      <c r="AE31" s="46" t="s">
        <v>101</v>
      </c>
      <c r="AF31" s="46" t="s">
        <v>101</v>
      </c>
      <c r="AG31" s="46" t="s">
        <v>101</v>
      </c>
      <c r="AH31" s="46" t="s">
        <v>101</v>
      </c>
      <c r="AI31" s="46" t="s">
        <v>101</v>
      </c>
      <c r="AJ31" s="27" t="str">
        <f t="shared" si="2"/>
        <v>ND</v>
      </c>
      <c r="AK31" s="47" t="str">
        <f t="shared" si="3"/>
        <v/>
      </c>
      <c r="AL31" s="27" t="str">
        <f t="shared" si="4"/>
        <v>증빙 미입증</v>
      </c>
      <c r="AM31" s="48"/>
      <c r="AN31" s="48" t="s">
        <v>109</v>
      </c>
    </row>
    <row r="32" ht="61.5" customHeight="1">
      <c r="B32" s="49"/>
      <c r="C32" s="50"/>
      <c r="D32" s="50"/>
      <c r="E32" s="50"/>
      <c r="F32" s="34" t="s">
        <v>110</v>
      </c>
      <c r="G32" s="35" t="s">
        <v>271</v>
      </c>
      <c r="H32" s="51" t="s">
        <v>272</v>
      </c>
      <c r="U32" s="52"/>
      <c r="V32" s="52"/>
      <c r="W32" s="19" t="s">
        <v>140</v>
      </c>
      <c r="X32" s="6" t="s">
        <v>273</v>
      </c>
      <c r="Y32" s="43">
        <v>0.2</v>
      </c>
      <c r="Z32" s="44">
        <v>0.2</v>
      </c>
      <c r="AA32" s="6" t="s">
        <v>434</v>
      </c>
      <c r="AB32" s="6" t="s">
        <v>99</v>
      </c>
      <c r="AC32" s="52"/>
      <c r="AD32" s="46" t="s">
        <v>101</v>
      </c>
      <c r="AE32" s="46" t="s">
        <v>101</v>
      </c>
      <c r="AF32" s="46" t="s">
        <v>101</v>
      </c>
      <c r="AG32" s="46" t="s">
        <v>101</v>
      </c>
      <c r="AH32" s="46" t="s">
        <v>101</v>
      </c>
      <c r="AI32" s="46" t="s">
        <v>101</v>
      </c>
      <c r="AJ32" s="27" t="str">
        <f t="shared" si="2"/>
        <v>ND</v>
      </c>
      <c r="AK32" s="47" t="str">
        <f t="shared" si="3"/>
        <v/>
      </c>
      <c r="AL32" s="27" t="str">
        <f t="shared" si="4"/>
        <v>증빙 미입증</v>
      </c>
      <c r="AM32" s="48"/>
      <c r="AN32" s="48" t="s">
        <v>109</v>
      </c>
    </row>
    <row r="33" ht="61.5" customHeight="1">
      <c r="B33" s="49"/>
      <c r="C33" s="50"/>
      <c r="D33" s="50"/>
      <c r="E33" s="50"/>
      <c r="F33" s="34" t="s">
        <v>119</v>
      </c>
      <c r="G33" s="35" t="s">
        <v>275</v>
      </c>
      <c r="H33" s="53" t="s">
        <v>276</v>
      </c>
      <c r="U33" s="56"/>
      <c r="V33" s="56"/>
      <c r="W33" s="19" t="s">
        <v>152</v>
      </c>
      <c r="X33" s="6" t="s">
        <v>278</v>
      </c>
      <c r="Y33" s="43">
        <v>0.2</v>
      </c>
      <c r="Z33" s="44">
        <v>0.2</v>
      </c>
      <c r="AA33" s="6" t="s">
        <v>439</v>
      </c>
      <c r="AB33" s="6" t="s">
        <v>99</v>
      </c>
      <c r="AC33" s="56"/>
      <c r="AD33" s="46" t="s">
        <v>101</v>
      </c>
      <c r="AE33" s="46" t="s">
        <v>101</v>
      </c>
      <c r="AF33" s="46" t="s">
        <v>101</v>
      </c>
      <c r="AG33" s="46" t="s">
        <v>101</v>
      </c>
      <c r="AH33" s="46" t="s">
        <v>101</v>
      </c>
      <c r="AI33" s="46" t="s">
        <v>101</v>
      </c>
      <c r="AJ33" s="27" t="str">
        <f t="shared" si="2"/>
        <v>ND</v>
      </c>
      <c r="AK33" s="47" t="str">
        <f t="shared" si="3"/>
        <v/>
      </c>
      <c r="AL33" s="27" t="str">
        <f t="shared" si="4"/>
        <v>증빙 미입증</v>
      </c>
      <c r="AM33" s="48"/>
      <c r="AN33" s="48" t="s">
        <v>109</v>
      </c>
    </row>
    <row r="34" ht="61.5" customHeight="1">
      <c r="B34" s="49"/>
      <c r="C34" s="54"/>
      <c r="D34" s="54"/>
      <c r="E34" s="54"/>
      <c r="F34" s="34" t="s">
        <v>131</v>
      </c>
      <c r="G34" s="35" t="s">
        <v>282</v>
      </c>
      <c r="H34" s="55" t="s">
        <v>283</v>
      </c>
      <c r="U34" s="57" t="s">
        <v>158</v>
      </c>
      <c r="V34" s="57" t="s">
        <v>159</v>
      </c>
      <c r="W34" s="19" t="s">
        <v>97</v>
      </c>
      <c r="X34" s="6" t="s">
        <v>284</v>
      </c>
      <c r="Y34" s="43">
        <v>0.2</v>
      </c>
      <c r="Z34" s="44">
        <v>0.2</v>
      </c>
      <c r="AA34" s="6" t="s">
        <v>441</v>
      </c>
      <c r="AB34" s="6" t="s">
        <v>99</v>
      </c>
      <c r="AC34" s="58" t="s">
        <v>286</v>
      </c>
      <c r="AD34" s="46" t="s">
        <v>101</v>
      </c>
      <c r="AE34" s="46" t="s">
        <v>101</v>
      </c>
      <c r="AF34" s="46" t="s">
        <v>101</v>
      </c>
      <c r="AG34" s="46" t="s">
        <v>101</v>
      </c>
      <c r="AH34" s="46" t="s">
        <v>101</v>
      </c>
      <c r="AI34" s="46" t="s">
        <v>101</v>
      </c>
      <c r="AJ34" s="27" t="str">
        <f t="shared" si="2"/>
        <v>ND</v>
      </c>
      <c r="AK34" s="47" t="str">
        <f t="shared" si="3"/>
        <v/>
      </c>
      <c r="AL34" s="27" t="str">
        <f t="shared" si="4"/>
        <v>증빙 미입증</v>
      </c>
      <c r="AM34" s="48"/>
      <c r="AN34" s="48" t="s">
        <v>109</v>
      </c>
    </row>
    <row r="35" ht="61.5" customHeight="1">
      <c r="B35" s="49"/>
      <c r="C35" s="30" t="s">
        <v>288</v>
      </c>
      <c r="D35" s="31" t="str">
        <f>IF(S15="","",S15)</f>
        <v/>
      </c>
      <c r="E35" s="33" t="s">
        <v>93</v>
      </c>
      <c r="F35" s="34" t="s">
        <v>94</v>
      </c>
      <c r="G35" s="35" t="s">
        <v>291</v>
      </c>
      <c r="H35" s="36" t="s">
        <v>292</v>
      </c>
      <c r="U35" s="52"/>
      <c r="V35" s="52"/>
      <c r="W35" s="19" t="s">
        <v>117</v>
      </c>
      <c r="X35" s="6" t="s">
        <v>293</v>
      </c>
      <c r="Y35" s="43">
        <v>0.2</v>
      </c>
      <c r="Z35" s="44">
        <v>0.2</v>
      </c>
      <c r="AA35" s="6" t="s">
        <v>444</v>
      </c>
      <c r="AB35" s="6" t="s">
        <v>99</v>
      </c>
      <c r="AC35" s="52"/>
      <c r="AD35" s="46" t="s">
        <v>101</v>
      </c>
      <c r="AE35" s="46" t="s">
        <v>101</v>
      </c>
      <c r="AF35" s="46" t="s">
        <v>101</v>
      </c>
      <c r="AG35" s="46" t="s">
        <v>101</v>
      </c>
      <c r="AH35" s="46" t="s">
        <v>101</v>
      </c>
      <c r="AI35" s="46" t="s">
        <v>101</v>
      </c>
      <c r="AJ35" s="27" t="str">
        <f t="shared" si="2"/>
        <v>ND</v>
      </c>
      <c r="AK35" s="47" t="str">
        <f t="shared" si="3"/>
        <v/>
      </c>
      <c r="AL35" s="27" t="str">
        <f t="shared" si="4"/>
        <v>증빙 미입증</v>
      </c>
      <c r="AM35" s="48"/>
      <c r="AN35" s="48" t="s">
        <v>109</v>
      </c>
    </row>
    <row r="36" ht="61.5" customHeight="1">
      <c r="B36" s="49"/>
      <c r="C36" s="50"/>
      <c r="D36" s="50"/>
      <c r="E36" s="50"/>
      <c r="F36" s="34" t="s">
        <v>110</v>
      </c>
      <c r="G36" s="35" t="s">
        <v>295</v>
      </c>
      <c r="H36" s="51" t="s">
        <v>296</v>
      </c>
      <c r="U36" s="52"/>
      <c r="V36" s="52"/>
      <c r="W36" s="19" t="s">
        <v>129</v>
      </c>
      <c r="X36" s="6" t="s">
        <v>297</v>
      </c>
      <c r="Y36" s="43">
        <v>0.2</v>
      </c>
      <c r="Z36" s="44">
        <v>0.2</v>
      </c>
      <c r="AA36" s="6" t="s">
        <v>446</v>
      </c>
      <c r="AB36" s="6" t="s">
        <v>99</v>
      </c>
      <c r="AC36" s="52"/>
      <c r="AD36" s="46" t="s">
        <v>101</v>
      </c>
      <c r="AE36" s="46" t="s">
        <v>101</v>
      </c>
      <c r="AF36" s="46" t="s">
        <v>101</v>
      </c>
      <c r="AG36" s="46" t="s">
        <v>101</v>
      </c>
      <c r="AH36" s="46" t="s">
        <v>101</v>
      </c>
      <c r="AI36" s="46" t="s">
        <v>101</v>
      </c>
      <c r="AJ36" s="27" t="str">
        <f t="shared" si="2"/>
        <v>ND</v>
      </c>
      <c r="AK36" s="47" t="str">
        <f t="shared" si="3"/>
        <v/>
      </c>
      <c r="AL36" s="27" t="str">
        <f t="shared" si="4"/>
        <v>증빙 미입증</v>
      </c>
      <c r="AM36" s="48"/>
      <c r="AN36" s="48" t="s">
        <v>109</v>
      </c>
    </row>
    <row r="37" ht="61.5" customHeight="1">
      <c r="B37" s="49"/>
      <c r="C37" s="50"/>
      <c r="D37" s="50"/>
      <c r="E37" s="50"/>
      <c r="F37" s="34" t="s">
        <v>119</v>
      </c>
      <c r="G37" s="35" t="s">
        <v>299</v>
      </c>
      <c r="H37" s="53" t="s">
        <v>300</v>
      </c>
      <c r="U37" s="52"/>
      <c r="V37" s="52"/>
      <c r="W37" s="19" t="s">
        <v>140</v>
      </c>
      <c r="X37" s="6" t="s">
        <v>301</v>
      </c>
      <c r="Y37" s="43">
        <v>0.2</v>
      </c>
      <c r="Z37" s="44">
        <v>0.2</v>
      </c>
      <c r="AA37" s="6" t="s">
        <v>455</v>
      </c>
      <c r="AB37" s="6" t="s">
        <v>99</v>
      </c>
      <c r="AC37" s="52"/>
      <c r="AD37" s="46" t="s">
        <v>101</v>
      </c>
      <c r="AE37" s="46" t="s">
        <v>101</v>
      </c>
      <c r="AF37" s="46" t="s">
        <v>101</v>
      </c>
      <c r="AG37" s="46" t="s">
        <v>101</v>
      </c>
      <c r="AH37" s="46" t="s">
        <v>101</v>
      </c>
      <c r="AI37" s="46" t="s">
        <v>101</v>
      </c>
      <c r="AJ37" s="27" t="str">
        <f t="shared" si="2"/>
        <v>ND</v>
      </c>
      <c r="AK37" s="47" t="str">
        <f t="shared" si="3"/>
        <v/>
      </c>
      <c r="AL37" s="27" t="str">
        <f t="shared" si="4"/>
        <v>증빙 미입증</v>
      </c>
      <c r="AM37" s="48"/>
      <c r="AN37" s="48" t="s">
        <v>109</v>
      </c>
    </row>
    <row r="38" ht="61.5" customHeight="1">
      <c r="B38" s="49"/>
      <c r="C38" s="54"/>
      <c r="D38" s="54"/>
      <c r="E38" s="54"/>
      <c r="F38" s="34" t="s">
        <v>131</v>
      </c>
      <c r="G38" s="35" t="s">
        <v>303</v>
      </c>
      <c r="H38" s="55" t="s">
        <v>304</v>
      </c>
      <c r="U38" s="56"/>
      <c r="V38" s="56"/>
      <c r="W38" s="19" t="s">
        <v>152</v>
      </c>
      <c r="X38" s="6" t="s">
        <v>305</v>
      </c>
      <c r="Y38" s="43">
        <v>0.2</v>
      </c>
      <c r="Z38" s="44">
        <v>0.2</v>
      </c>
      <c r="AA38" s="6" t="s">
        <v>474</v>
      </c>
      <c r="AB38" s="6" t="s">
        <v>99</v>
      </c>
      <c r="AC38" s="56"/>
      <c r="AD38" s="46" t="s">
        <v>101</v>
      </c>
      <c r="AE38" s="46" t="s">
        <v>101</v>
      </c>
      <c r="AF38" s="46" t="s">
        <v>101</v>
      </c>
      <c r="AG38" s="46" t="s">
        <v>101</v>
      </c>
      <c r="AH38" s="46" t="s">
        <v>101</v>
      </c>
      <c r="AI38" s="46" t="s">
        <v>101</v>
      </c>
      <c r="AJ38" s="27" t="str">
        <f t="shared" si="2"/>
        <v>ND</v>
      </c>
      <c r="AK38" s="47" t="str">
        <f t="shared" si="3"/>
        <v/>
      </c>
      <c r="AL38" s="27" t="str">
        <f t="shared" si="4"/>
        <v>증빙 미입증</v>
      </c>
      <c r="AM38" s="48"/>
      <c r="AN38" s="48" t="s">
        <v>109</v>
      </c>
    </row>
    <row r="39" ht="61.5" customHeight="1">
      <c r="B39" s="60" t="s">
        <v>308</v>
      </c>
      <c r="C39" s="61"/>
      <c r="D39" s="67" t="str">
        <f>IF(COUNT(D27,D31,D35)&lt;3,"",AVERAGE(D27,D31,D35))</f>
        <v/>
      </c>
      <c r="E39" s="63" t="s">
        <v>93</v>
      </c>
      <c r="F39" s="64"/>
      <c r="G39" s="65"/>
      <c r="H39" s="66"/>
      <c r="U39" s="42" t="s">
        <v>165</v>
      </c>
      <c r="V39" s="42" t="s">
        <v>166</v>
      </c>
      <c r="W39" s="19" t="s">
        <v>97</v>
      </c>
      <c r="X39" s="6" t="s">
        <v>310</v>
      </c>
      <c r="Y39" s="43">
        <v>0.2</v>
      </c>
      <c r="Z39" s="44">
        <v>0.2</v>
      </c>
      <c r="AA39" s="6" t="s">
        <v>505</v>
      </c>
      <c r="AB39" s="6" t="s">
        <v>99</v>
      </c>
      <c r="AC39" s="45" t="s">
        <v>312</v>
      </c>
      <c r="AD39" s="46" t="s">
        <v>101</v>
      </c>
      <c r="AE39" s="46" t="s">
        <v>101</v>
      </c>
      <c r="AF39" s="46" t="s">
        <v>101</v>
      </c>
      <c r="AG39" s="46" t="s">
        <v>101</v>
      </c>
      <c r="AH39" s="46" t="s">
        <v>101</v>
      </c>
      <c r="AI39" s="46" t="s">
        <v>101</v>
      </c>
      <c r="AJ39" s="27" t="str">
        <f t="shared" si="2"/>
        <v>ND</v>
      </c>
      <c r="AK39" s="47" t="str">
        <f t="shared" si="3"/>
        <v/>
      </c>
      <c r="AL39" s="27" t="str">
        <f t="shared" si="4"/>
        <v>증빙 미입증</v>
      </c>
      <c r="AM39" s="48"/>
      <c r="AN39" s="48" t="s">
        <v>109</v>
      </c>
    </row>
    <row r="40" ht="61.5" customHeight="1">
      <c r="B40" s="28" t="s">
        <v>233</v>
      </c>
      <c r="C40" s="68" t="s">
        <v>314</v>
      </c>
      <c r="D40" s="31" t="str">
        <f>IF(S16="","",S16)</f>
        <v/>
      </c>
      <c r="E40" s="33" t="s">
        <v>93</v>
      </c>
      <c r="F40" s="34" t="s">
        <v>94</v>
      </c>
      <c r="G40" s="69" t="s">
        <v>316</v>
      </c>
      <c r="H40" s="36" t="s">
        <v>317</v>
      </c>
      <c r="U40" s="52"/>
      <c r="V40" s="52"/>
      <c r="W40" s="19" t="s">
        <v>117</v>
      </c>
      <c r="X40" s="6" t="s">
        <v>318</v>
      </c>
      <c r="Y40" s="43">
        <v>0.2</v>
      </c>
      <c r="Z40" s="44">
        <v>0.2</v>
      </c>
      <c r="AA40" s="6" t="s">
        <v>541</v>
      </c>
      <c r="AB40" s="6" t="s">
        <v>99</v>
      </c>
      <c r="AC40" s="52"/>
      <c r="AD40" s="46" t="s">
        <v>101</v>
      </c>
      <c r="AE40" s="46" t="s">
        <v>101</v>
      </c>
      <c r="AF40" s="46" t="s">
        <v>101</v>
      </c>
      <c r="AG40" s="46" t="s">
        <v>101</v>
      </c>
      <c r="AH40" s="46" t="s">
        <v>101</v>
      </c>
      <c r="AI40" s="46" t="s">
        <v>101</v>
      </c>
      <c r="AJ40" s="27" t="str">
        <f t="shared" si="2"/>
        <v>ND</v>
      </c>
      <c r="AK40" s="47" t="str">
        <f t="shared" si="3"/>
        <v/>
      </c>
      <c r="AL40" s="27" t="str">
        <f t="shared" si="4"/>
        <v>증빙 미입증</v>
      </c>
      <c r="AM40" s="48"/>
      <c r="AN40" s="48" t="s">
        <v>109</v>
      </c>
    </row>
    <row r="41" ht="61.5" customHeight="1">
      <c r="B41" s="49"/>
      <c r="C41" s="50"/>
      <c r="D41" s="50"/>
      <c r="E41" s="50"/>
      <c r="F41" s="34" t="s">
        <v>110</v>
      </c>
      <c r="G41" s="35" t="s">
        <v>322</v>
      </c>
      <c r="H41" s="51" t="s">
        <v>323</v>
      </c>
      <c r="U41" s="52"/>
      <c r="V41" s="52"/>
      <c r="W41" s="19" t="s">
        <v>129</v>
      </c>
      <c r="X41" s="6" t="s">
        <v>324</v>
      </c>
      <c r="Y41" s="43">
        <v>0.2</v>
      </c>
      <c r="Z41" s="44">
        <v>0.2</v>
      </c>
      <c r="AA41" s="6" t="s">
        <v>547</v>
      </c>
      <c r="AB41" s="6" t="s">
        <v>99</v>
      </c>
      <c r="AC41" s="52"/>
      <c r="AD41" s="46" t="s">
        <v>101</v>
      </c>
      <c r="AE41" s="46" t="s">
        <v>101</v>
      </c>
      <c r="AF41" s="46" t="s">
        <v>101</v>
      </c>
      <c r="AG41" s="46" t="s">
        <v>101</v>
      </c>
      <c r="AH41" s="46" t="s">
        <v>101</v>
      </c>
      <c r="AI41" s="46" t="s">
        <v>101</v>
      </c>
      <c r="AJ41" s="27" t="str">
        <f t="shared" si="2"/>
        <v>ND</v>
      </c>
      <c r="AK41" s="47" t="str">
        <f t="shared" si="3"/>
        <v/>
      </c>
      <c r="AL41" s="27" t="str">
        <f t="shared" si="4"/>
        <v>증빙 미입증</v>
      </c>
      <c r="AM41" s="48"/>
      <c r="AN41" s="48" t="s">
        <v>109</v>
      </c>
    </row>
    <row r="42" ht="61.5" customHeight="1">
      <c r="B42" s="49"/>
      <c r="C42" s="50"/>
      <c r="D42" s="50"/>
      <c r="E42" s="50"/>
      <c r="F42" s="34" t="s">
        <v>119</v>
      </c>
      <c r="G42" s="35" t="s">
        <v>326</v>
      </c>
      <c r="H42" s="53" t="s">
        <v>327</v>
      </c>
      <c r="U42" s="52"/>
      <c r="V42" s="52"/>
      <c r="W42" s="19" t="s">
        <v>140</v>
      </c>
      <c r="X42" s="6" t="s">
        <v>328</v>
      </c>
      <c r="Y42" s="43">
        <v>0.2</v>
      </c>
      <c r="Z42" s="44">
        <v>0.2</v>
      </c>
      <c r="AA42" s="6" t="s">
        <v>555</v>
      </c>
      <c r="AB42" s="6" t="s">
        <v>99</v>
      </c>
      <c r="AC42" s="52"/>
      <c r="AD42" s="46" t="s">
        <v>101</v>
      </c>
      <c r="AE42" s="46" t="s">
        <v>101</v>
      </c>
      <c r="AF42" s="46" t="s">
        <v>101</v>
      </c>
      <c r="AG42" s="46" t="s">
        <v>101</v>
      </c>
      <c r="AH42" s="46" t="s">
        <v>101</v>
      </c>
      <c r="AI42" s="46" t="s">
        <v>101</v>
      </c>
      <c r="AJ42" s="27" t="str">
        <f t="shared" si="2"/>
        <v>ND</v>
      </c>
      <c r="AK42" s="47" t="str">
        <f t="shared" si="3"/>
        <v/>
      </c>
      <c r="AL42" s="27" t="str">
        <f t="shared" si="4"/>
        <v>증빙 미입증</v>
      </c>
      <c r="AM42" s="48"/>
      <c r="AN42" s="48" t="s">
        <v>109</v>
      </c>
    </row>
    <row r="43" ht="61.5" customHeight="1">
      <c r="B43" s="49"/>
      <c r="C43" s="54"/>
      <c r="D43" s="54"/>
      <c r="E43" s="54"/>
      <c r="F43" s="34" t="s">
        <v>131</v>
      </c>
      <c r="G43" s="35" t="s">
        <v>330</v>
      </c>
      <c r="H43" s="55" t="s">
        <v>331</v>
      </c>
      <c r="U43" s="56"/>
      <c r="V43" s="56"/>
      <c r="W43" s="19" t="s">
        <v>152</v>
      </c>
      <c r="X43" s="6" t="s">
        <v>332</v>
      </c>
      <c r="Y43" s="43">
        <v>0.2</v>
      </c>
      <c r="Z43" s="44">
        <v>0.2</v>
      </c>
      <c r="AA43" s="6" t="s">
        <v>562</v>
      </c>
      <c r="AB43" s="6" t="s">
        <v>99</v>
      </c>
      <c r="AC43" s="56"/>
      <c r="AD43" s="46" t="s">
        <v>101</v>
      </c>
      <c r="AE43" s="46" t="s">
        <v>101</v>
      </c>
      <c r="AF43" s="46" t="s">
        <v>101</v>
      </c>
      <c r="AG43" s="46" t="s">
        <v>101</v>
      </c>
      <c r="AH43" s="46" t="s">
        <v>101</v>
      </c>
      <c r="AI43" s="46" t="s">
        <v>101</v>
      </c>
      <c r="AJ43" s="27" t="str">
        <f t="shared" si="2"/>
        <v>ND</v>
      </c>
      <c r="AK43" s="47" t="str">
        <f t="shared" si="3"/>
        <v/>
      </c>
      <c r="AL43" s="27" t="str">
        <f t="shared" si="4"/>
        <v>증빙 미입증</v>
      </c>
      <c r="AM43" s="48"/>
      <c r="AN43" s="48" t="s">
        <v>109</v>
      </c>
    </row>
    <row r="44" ht="61.5" customHeight="1">
      <c r="B44" s="49"/>
      <c r="C44" s="30" t="s">
        <v>334</v>
      </c>
      <c r="D44" s="31" t="str">
        <f>IF(S17="","",S17)</f>
        <v/>
      </c>
      <c r="E44" s="33" t="s">
        <v>93</v>
      </c>
      <c r="F44" s="34" t="s">
        <v>94</v>
      </c>
      <c r="G44" s="35" t="s">
        <v>335</v>
      </c>
      <c r="H44" s="36" t="s">
        <v>336</v>
      </c>
      <c r="U44" s="57" t="s">
        <v>175</v>
      </c>
      <c r="V44" s="57" t="s">
        <v>176</v>
      </c>
      <c r="W44" s="19" t="s">
        <v>97</v>
      </c>
      <c r="X44" s="6" t="s">
        <v>337</v>
      </c>
      <c r="Y44" s="43">
        <v>0.2</v>
      </c>
      <c r="Z44" s="44">
        <v>0.2</v>
      </c>
      <c r="AA44" s="6" t="s">
        <v>576</v>
      </c>
      <c r="AB44" s="6" t="s">
        <v>99</v>
      </c>
      <c r="AC44" s="58" t="s">
        <v>339</v>
      </c>
      <c r="AD44" s="46" t="s">
        <v>101</v>
      </c>
      <c r="AE44" s="46" t="s">
        <v>101</v>
      </c>
      <c r="AF44" s="46" t="s">
        <v>101</v>
      </c>
      <c r="AG44" s="46" t="s">
        <v>101</v>
      </c>
      <c r="AH44" s="46" t="s">
        <v>101</v>
      </c>
      <c r="AI44" s="46" t="s">
        <v>101</v>
      </c>
      <c r="AJ44" s="27" t="str">
        <f t="shared" si="2"/>
        <v>ND</v>
      </c>
      <c r="AK44" s="47" t="str">
        <f t="shared" si="3"/>
        <v/>
      </c>
      <c r="AL44" s="27" t="str">
        <f t="shared" si="4"/>
        <v>증빙 미입증</v>
      </c>
      <c r="AM44" s="48"/>
      <c r="AN44" s="48" t="s">
        <v>109</v>
      </c>
    </row>
    <row r="45" ht="61.5" customHeight="1">
      <c r="B45" s="49"/>
      <c r="C45" s="50"/>
      <c r="D45" s="50"/>
      <c r="E45" s="50"/>
      <c r="F45" s="34" t="s">
        <v>110</v>
      </c>
      <c r="G45" s="35" t="s">
        <v>340</v>
      </c>
      <c r="H45" s="51" t="s">
        <v>341</v>
      </c>
      <c r="U45" s="52"/>
      <c r="V45" s="52"/>
      <c r="W45" s="19" t="s">
        <v>117</v>
      </c>
      <c r="X45" s="6" t="s">
        <v>342</v>
      </c>
      <c r="Y45" s="43">
        <v>0.2</v>
      </c>
      <c r="Z45" s="44">
        <v>0.2</v>
      </c>
      <c r="AA45" s="6" t="s">
        <v>581</v>
      </c>
      <c r="AB45" s="6" t="s">
        <v>99</v>
      </c>
      <c r="AC45" s="52"/>
      <c r="AD45" s="46" t="s">
        <v>101</v>
      </c>
      <c r="AE45" s="46" t="s">
        <v>101</v>
      </c>
      <c r="AF45" s="46" t="s">
        <v>101</v>
      </c>
      <c r="AG45" s="46" t="s">
        <v>101</v>
      </c>
      <c r="AH45" s="46" t="s">
        <v>101</v>
      </c>
      <c r="AI45" s="46" t="s">
        <v>101</v>
      </c>
      <c r="AJ45" s="27" t="str">
        <f t="shared" si="2"/>
        <v>ND</v>
      </c>
      <c r="AK45" s="47" t="str">
        <f t="shared" si="3"/>
        <v/>
      </c>
      <c r="AL45" s="27" t="str">
        <f t="shared" si="4"/>
        <v>증빙 미입증</v>
      </c>
      <c r="AM45" s="48"/>
      <c r="AN45" s="48" t="s">
        <v>109</v>
      </c>
    </row>
    <row r="46" ht="61.5" customHeight="1">
      <c r="B46" s="49"/>
      <c r="C46" s="50"/>
      <c r="D46" s="50"/>
      <c r="E46" s="50"/>
      <c r="F46" s="34" t="s">
        <v>119</v>
      </c>
      <c r="G46" s="35" t="s">
        <v>347</v>
      </c>
      <c r="H46" s="53" t="s">
        <v>348</v>
      </c>
      <c r="U46" s="52"/>
      <c r="V46" s="52"/>
      <c r="W46" s="19" t="s">
        <v>129</v>
      </c>
      <c r="X46" s="6" t="s">
        <v>351</v>
      </c>
      <c r="Y46" s="43">
        <v>0.2</v>
      </c>
      <c r="Z46" s="44">
        <v>0.2</v>
      </c>
      <c r="AA46" s="6" t="s">
        <v>586</v>
      </c>
      <c r="AB46" s="6" t="s">
        <v>99</v>
      </c>
      <c r="AC46" s="52"/>
      <c r="AD46" s="46" t="s">
        <v>101</v>
      </c>
      <c r="AE46" s="46" t="s">
        <v>101</v>
      </c>
      <c r="AF46" s="46" t="s">
        <v>101</v>
      </c>
      <c r="AG46" s="46" t="s">
        <v>101</v>
      </c>
      <c r="AH46" s="46" t="s">
        <v>101</v>
      </c>
      <c r="AI46" s="46" t="s">
        <v>101</v>
      </c>
      <c r="AJ46" s="27" t="str">
        <f t="shared" si="2"/>
        <v>ND</v>
      </c>
      <c r="AK46" s="47" t="str">
        <f t="shared" si="3"/>
        <v/>
      </c>
      <c r="AL46" s="27" t="str">
        <f t="shared" si="4"/>
        <v>증빙 미입증</v>
      </c>
      <c r="AM46" s="48"/>
      <c r="AN46" s="48" t="s">
        <v>109</v>
      </c>
    </row>
    <row r="47" ht="61.5" customHeight="1">
      <c r="B47" s="59"/>
      <c r="C47" s="54"/>
      <c r="D47" s="54"/>
      <c r="E47" s="54"/>
      <c r="F47" s="34" t="s">
        <v>131</v>
      </c>
      <c r="G47" s="35" t="s">
        <v>356</v>
      </c>
      <c r="H47" s="55" t="s">
        <v>357</v>
      </c>
      <c r="U47" s="52"/>
      <c r="V47" s="52"/>
      <c r="W47" s="19" t="s">
        <v>140</v>
      </c>
      <c r="X47" s="6" t="s">
        <v>358</v>
      </c>
      <c r="Y47" s="43">
        <v>0.2</v>
      </c>
      <c r="Z47" s="44">
        <v>0.2</v>
      </c>
      <c r="AA47" s="6" t="s">
        <v>589</v>
      </c>
      <c r="AB47" s="6" t="s">
        <v>99</v>
      </c>
      <c r="AC47" s="52"/>
      <c r="AD47" s="46" t="s">
        <v>101</v>
      </c>
      <c r="AE47" s="46" t="s">
        <v>101</v>
      </c>
      <c r="AF47" s="46" t="s">
        <v>101</v>
      </c>
      <c r="AG47" s="46" t="s">
        <v>101</v>
      </c>
      <c r="AH47" s="46" t="s">
        <v>101</v>
      </c>
      <c r="AI47" s="46" t="s">
        <v>101</v>
      </c>
      <c r="AJ47" s="27" t="str">
        <f t="shared" si="2"/>
        <v>ND</v>
      </c>
      <c r="AK47" s="47" t="str">
        <f t="shared" si="3"/>
        <v/>
      </c>
      <c r="AL47" s="27" t="str">
        <f t="shared" si="4"/>
        <v>증빙 미입증</v>
      </c>
      <c r="AM47" s="48"/>
      <c r="AN47" s="48" t="s">
        <v>109</v>
      </c>
    </row>
    <row r="48" ht="61.5" customHeight="1">
      <c r="B48" s="60" t="s">
        <v>361</v>
      </c>
      <c r="C48" s="61"/>
      <c r="D48" s="67" t="str">
        <f>IF(COUNT(D40,D44)&lt;2,"",AVERAGE(D40,D44)*3/4)</f>
        <v/>
      </c>
      <c r="E48" s="63" t="s">
        <v>289</v>
      </c>
      <c r="F48" s="64"/>
      <c r="G48" s="65"/>
      <c r="H48" s="66"/>
      <c r="U48" s="56"/>
      <c r="V48" s="56"/>
      <c r="W48" s="19" t="s">
        <v>152</v>
      </c>
      <c r="X48" s="6" t="s">
        <v>362</v>
      </c>
      <c r="Y48" s="43">
        <v>0.2</v>
      </c>
      <c r="Z48" s="44">
        <v>0.2</v>
      </c>
      <c r="AA48" s="6" t="s">
        <v>590</v>
      </c>
      <c r="AB48" s="6" t="s">
        <v>99</v>
      </c>
      <c r="AC48" s="56"/>
      <c r="AD48" s="46" t="s">
        <v>101</v>
      </c>
      <c r="AE48" s="46" t="s">
        <v>101</v>
      </c>
      <c r="AF48" s="46" t="s">
        <v>101</v>
      </c>
      <c r="AG48" s="46" t="s">
        <v>101</v>
      </c>
      <c r="AH48" s="46" t="s">
        <v>101</v>
      </c>
      <c r="AI48" s="46" t="s">
        <v>101</v>
      </c>
      <c r="AJ48" s="27" t="str">
        <f t="shared" si="2"/>
        <v>ND</v>
      </c>
      <c r="AK48" s="47" t="str">
        <f t="shared" si="3"/>
        <v/>
      </c>
      <c r="AL48" s="27" t="str">
        <f t="shared" si="4"/>
        <v>증빙 미입증</v>
      </c>
      <c r="AM48" s="48"/>
      <c r="AN48" s="48" t="s">
        <v>109</v>
      </c>
    </row>
    <row r="49" ht="61.5" customHeight="1">
      <c r="B49" s="28" t="s">
        <v>281</v>
      </c>
      <c r="C49" s="30" t="s">
        <v>364</v>
      </c>
      <c r="D49" s="31" t="str">
        <f>IF(S18="","",S18)</f>
        <v/>
      </c>
      <c r="E49" s="33" t="s">
        <v>93</v>
      </c>
      <c r="F49" s="34" t="s">
        <v>94</v>
      </c>
      <c r="G49" s="35" t="s">
        <v>365</v>
      </c>
      <c r="H49" s="36" t="s">
        <v>366</v>
      </c>
      <c r="U49" s="42" t="s">
        <v>184</v>
      </c>
      <c r="V49" s="42" t="s">
        <v>185</v>
      </c>
      <c r="W49" s="19" t="s">
        <v>97</v>
      </c>
      <c r="X49" s="6" t="s">
        <v>367</v>
      </c>
      <c r="Y49" s="43">
        <v>0.2</v>
      </c>
      <c r="Z49" s="44">
        <v>0.2</v>
      </c>
      <c r="AA49" s="6" t="s">
        <v>593</v>
      </c>
      <c r="AB49" s="6" t="s">
        <v>99</v>
      </c>
      <c r="AC49" s="45" t="s">
        <v>369</v>
      </c>
      <c r="AD49" s="46" t="s">
        <v>101</v>
      </c>
      <c r="AE49" s="46" t="s">
        <v>101</v>
      </c>
      <c r="AF49" s="46" t="s">
        <v>101</v>
      </c>
      <c r="AG49" s="46" t="s">
        <v>101</v>
      </c>
      <c r="AH49" s="46" t="s">
        <v>101</v>
      </c>
      <c r="AI49" s="46" t="s">
        <v>101</v>
      </c>
      <c r="AJ49" s="27" t="str">
        <f t="shared" si="2"/>
        <v>ND</v>
      </c>
      <c r="AK49" s="47" t="str">
        <f t="shared" si="3"/>
        <v/>
      </c>
      <c r="AL49" s="27" t="str">
        <f t="shared" si="4"/>
        <v>증빙 미입증</v>
      </c>
      <c r="AM49" s="48"/>
      <c r="AN49" s="48" t="s">
        <v>109</v>
      </c>
    </row>
    <row r="50" ht="61.5" customHeight="1">
      <c r="B50" s="49"/>
      <c r="C50" s="50"/>
      <c r="D50" s="50"/>
      <c r="E50" s="50"/>
      <c r="F50" s="34" t="s">
        <v>110</v>
      </c>
      <c r="G50" s="35" t="s">
        <v>370</v>
      </c>
      <c r="H50" s="51" t="s">
        <v>371</v>
      </c>
      <c r="U50" s="52"/>
      <c r="V50" s="52"/>
      <c r="W50" s="19" t="s">
        <v>117</v>
      </c>
      <c r="X50" s="6" t="s">
        <v>372</v>
      </c>
      <c r="Y50" s="43">
        <v>0.2</v>
      </c>
      <c r="Z50" s="44">
        <v>0.2</v>
      </c>
      <c r="AA50" s="6" t="s">
        <v>594</v>
      </c>
      <c r="AB50" s="6" t="s">
        <v>99</v>
      </c>
      <c r="AC50" s="52"/>
      <c r="AD50" s="46" t="s">
        <v>101</v>
      </c>
      <c r="AE50" s="46" t="s">
        <v>101</v>
      </c>
      <c r="AF50" s="46" t="s">
        <v>101</v>
      </c>
      <c r="AG50" s="46" t="s">
        <v>101</v>
      </c>
      <c r="AH50" s="46" t="s">
        <v>101</v>
      </c>
      <c r="AI50" s="46" t="s">
        <v>101</v>
      </c>
      <c r="AJ50" s="27" t="str">
        <f t="shared" si="2"/>
        <v>ND</v>
      </c>
      <c r="AK50" s="47" t="str">
        <f t="shared" si="3"/>
        <v/>
      </c>
      <c r="AL50" s="27" t="str">
        <f t="shared" si="4"/>
        <v>증빙 미입증</v>
      </c>
      <c r="AM50" s="48"/>
      <c r="AN50" s="48" t="s">
        <v>109</v>
      </c>
    </row>
    <row r="51" ht="61.5" customHeight="1">
      <c r="B51" s="49"/>
      <c r="C51" s="50"/>
      <c r="D51" s="50"/>
      <c r="E51" s="50"/>
      <c r="F51" s="34" t="s">
        <v>119</v>
      </c>
      <c r="G51" s="35" t="s">
        <v>374</v>
      </c>
      <c r="H51" s="53" t="s">
        <v>375</v>
      </c>
      <c r="U51" s="52"/>
      <c r="V51" s="52"/>
      <c r="W51" s="19" t="s">
        <v>129</v>
      </c>
      <c r="X51" s="6" t="s">
        <v>376</v>
      </c>
      <c r="Y51" s="43">
        <v>0.2</v>
      </c>
      <c r="Z51" s="44">
        <v>0.2</v>
      </c>
      <c r="AA51" s="6" t="s">
        <v>596</v>
      </c>
      <c r="AB51" s="6" t="s">
        <v>99</v>
      </c>
      <c r="AC51" s="52"/>
      <c r="AD51" s="46" t="s">
        <v>101</v>
      </c>
      <c r="AE51" s="46" t="s">
        <v>101</v>
      </c>
      <c r="AF51" s="46" t="s">
        <v>101</v>
      </c>
      <c r="AG51" s="46" t="s">
        <v>101</v>
      </c>
      <c r="AH51" s="46" t="s">
        <v>101</v>
      </c>
      <c r="AI51" s="46" t="s">
        <v>101</v>
      </c>
      <c r="AJ51" s="27" t="str">
        <f t="shared" si="2"/>
        <v>ND</v>
      </c>
      <c r="AK51" s="47" t="str">
        <f t="shared" si="3"/>
        <v/>
      </c>
      <c r="AL51" s="27" t="str">
        <f t="shared" si="4"/>
        <v>증빙 미입증</v>
      </c>
      <c r="AM51" s="48"/>
      <c r="AN51" s="48" t="s">
        <v>109</v>
      </c>
    </row>
    <row r="52" ht="61.5" customHeight="1">
      <c r="B52" s="49"/>
      <c r="C52" s="54"/>
      <c r="D52" s="54"/>
      <c r="E52" s="54"/>
      <c r="F52" s="34" t="s">
        <v>131</v>
      </c>
      <c r="G52" s="35" t="s">
        <v>378</v>
      </c>
      <c r="H52" s="55" t="s">
        <v>379</v>
      </c>
      <c r="U52" s="52"/>
      <c r="V52" s="52"/>
      <c r="W52" s="19" t="s">
        <v>140</v>
      </c>
      <c r="X52" s="6" t="s">
        <v>380</v>
      </c>
      <c r="Y52" s="43">
        <v>0.2</v>
      </c>
      <c r="Z52" s="44">
        <v>0.2</v>
      </c>
      <c r="AA52" s="6" t="s">
        <v>598</v>
      </c>
      <c r="AB52" s="6" t="s">
        <v>99</v>
      </c>
      <c r="AC52" s="52"/>
      <c r="AD52" s="46" t="s">
        <v>101</v>
      </c>
      <c r="AE52" s="46" t="s">
        <v>101</v>
      </c>
      <c r="AF52" s="46" t="s">
        <v>101</v>
      </c>
      <c r="AG52" s="46" t="s">
        <v>101</v>
      </c>
      <c r="AH52" s="46" t="s">
        <v>101</v>
      </c>
      <c r="AI52" s="46" t="s">
        <v>101</v>
      </c>
      <c r="AJ52" s="27" t="str">
        <f t="shared" si="2"/>
        <v>ND</v>
      </c>
      <c r="AK52" s="47" t="str">
        <f t="shared" si="3"/>
        <v/>
      </c>
      <c r="AL52" s="27" t="str">
        <f t="shared" si="4"/>
        <v>증빙 미입증</v>
      </c>
      <c r="AM52" s="48"/>
      <c r="AN52" s="48" t="s">
        <v>109</v>
      </c>
    </row>
    <row r="53" ht="61.5" customHeight="1">
      <c r="B53" s="49"/>
      <c r="C53" s="30" t="s">
        <v>400</v>
      </c>
      <c r="D53" s="31" t="str">
        <f>IF(S19="","",S19)</f>
        <v/>
      </c>
      <c r="E53" s="33" t="s">
        <v>93</v>
      </c>
      <c r="F53" s="34" t="s">
        <v>94</v>
      </c>
      <c r="G53" s="69" t="s">
        <v>403</v>
      </c>
      <c r="H53" s="36" t="s">
        <v>405</v>
      </c>
      <c r="U53" s="56"/>
      <c r="V53" s="56"/>
      <c r="W53" s="19" t="s">
        <v>152</v>
      </c>
      <c r="X53" s="6" t="s">
        <v>408</v>
      </c>
      <c r="Y53" s="43">
        <v>0.2</v>
      </c>
      <c r="Z53" s="44">
        <v>0.2</v>
      </c>
      <c r="AA53" s="6" t="s">
        <v>599</v>
      </c>
      <c r="AB53" s="6" t="s">
        <v>99</v>
      </c>
      <c r="AC53" s="56"/>
      <c r="AD53" s="46" t="s">
        <v>101</v>
      </c>
      <c r="AE53" s="46" t="s">
        <v>101</v>
      </c>
      <c r="AF53" s="46" t="s">
        <v>101</v>
      </c>
      <c r="AG53" s="46" t="s">
        <v>101</v>
      </c>
      <c r="AH53" s="46" t="s">
        <v>101</v>
      </c>
      <c r="AI53" s="46" t="s">
        <v>101</v>
      </c>
      <c r="AJ53" s="27" t="str">
        <f t="shared" si="2"/>
        <v>ND</v>
      </c>
      <c r="AK53" s="47" t="str">
        <f t="shared" si="3"/>
        <v/>
      </c>
      <c r="AL53" s="27" t="str">
        <f t="shared" si="4"/>
        <v>증빙 미입증</v>
      </c>
      <c r="AM53" s="48"/>
      <c r="AN53" s="48" t="s">
        <v>109</v>
      </c>
    </row>
    <row r="54" ht="61.5" customHeight="1">
      <c r="B54" s="49"/>
      <c r="C54" s="50"/>
      <c r="D54" s="50"/>
      <c r="E54" s="50"/>
      <c r="F54" s="34" t="s">
        <v>110</v>
      </c>
      <c r="G54" s="35" t="s">
        <v>415</v>
      </c>
      <c r="H54" s="51" t="s">
        <v>416</v>
      </c>
      <c r="U54" s="57" t="s">
        <v>197</v>
      </c>
      <c r="V54" s="57" t="s">
        <v>198</v>
      </c>
      <c r="W54" s="19" t="s">
        <v>97</v>
      </c>
      <c r="X54" s="6" t="s">
        <v>418</v>
      </c>
      <c r="Y54" s="43">
        <v>0.2</v>
      </c>
      <c r="Z54" s="44">
        <v>0.2</v>
      </c>
      <c r="AA54" s="6" t="s">
        <v>602</v>
      </c>
      <c r="AB54" s="6" t="s">
        <v>99</v>
      </c>
      <c r="AC54" s="58" t="s">
        <v>423</v>
      </c>
      <c r="AD54" s="46" t="s">
        <v>101</v>
      </c>
      <c r="AE54" s="46" t="s">
        <v>101</v>
      </c>
      <c r="AF54" s="46" t="s">
        <v>101</v>
      </c>
      <c r="AG54" s="46" t="s">
        <v>101</v>
      </c>
      <c r="AH54" s="46" t="s">
        <v>101</v>
      </c>
      <c r="AI54" s="46" t="s">
        <v>101</v>
      </c>
      <c r="AJ54" s="27" t="str">
        <f t="shared" si="2"/>
        <v>ND</v>
      </c>
      <c r="AK54" s="47" t="str">
        <f t="shared" si="3"/>
        <v/>
      </c>
      <c r="AL54" s="27" t="str">
        <f t="shared" si="4"/>
        <v>증빙 미입증</v>
      </c>
      <c r="AM54" s="48"/>
      <c r="AN54" s="48" t="s">
        <v>109</v>
      </c>
    </row>
    <row r="55" ht="61.5" customHeight="1">
      <c r="B55" s="49"/>
      <c r="C55" s="50"/>
      <c r="D55" s="50"/>
      <c r="E55" s="50"/>
      <c r="F55" s="34" t="s">
        <v>119</v>
      </c>
      <c r="G55" s="35" t="s">
        <v>426</v>
      </c>
      <c r="H55" s="53" t="s">
        <v>427</v>
      </c>
      <c r="U55" s="52"/>
      <c r="V55" s="52"/>
      <c r="W55" s="19" t="s">
        <v>117</v>
      </c>
      <c r="X55" s="6" t="s">
        <v>429</v>
      </c>
      <c r="Y55" s="43">
        <v>0.2</v>
      </c>
      <c r="Z55" s="44">
        <v>0.2</v>
      </c>
      <c r="AA55" s="6" t="s">
        <v>603</v>
      </c>
      <c r="AB55" s="6" t="s">
        <v>99</v>
      </c>
      <c r="AC55" s="52"/>
      <c r="AD55" s="46" t="s">
        <v>101</v>
      </c>
      <c r="AE55" s="46" t="s">
        <v>101</v>
      </c>
      <c r="AF55" s="46" t="s">
        <v>101</v>
      </c>
      <c r="AG55" s="46" t="s">
        <v>101</v>
      </c>
      <c r="AH55" s="46" t="s">
        <v>101</v>
      </c>
      <c r="AI55" s="46" t="s">
        <v>101</v>
      </c>
      <c r="AJ55" s="27" t="str">
        <f t="shared" si="2"/>
        <v>ND</v>
      </c>
      <c r="AK55" s="47" t="str">
        <f t="shared" si="3"/>
        <v/>
      </c>
      <c r="AL55" s="27" t="str">
        <f t="shared" si="4"/>
        <v>증빙 미입증</v>
      </c>
      <c r="AM55" s="48"/>
      <c r="AN55" s="48" t="s">
        <v>109</v>
      </c>
    </row>
    <row r="56" ht="61.5" customHeight="1">
      <c r="B56" s="59"/>
      <c r="C56" s="54"/>
      <c r="D56" s="54"/>
      <c r="E56" s="54"/>
      <c r="F56" s="34" t="s">
        <v>131</v>
      </c>
      <c r="G56" s="35" t="s">
        <v>433</v>
      </c>
      <c r="H56" s="55" t="s">
        <v>435</v>
      </c>
      <c r="U56" s="52"/>
      <c r="V56" s="52"/>
      <c r="W56" s="19" t="s">
        <v>129</v>
      </c>
      <c r="X56" s="6" t="s">
        <v>436</v>
      </c>
      <c r="Y56" s="43">
        <v>0.2</v>
      </c>
      <c r="Z56" s="44">
        <v>0.2</v>
      </c>
      <c r="AA56" s="6" t="s">
        <v>606</v>
      </c>
      <c r="AB56" s="6" t="s">
        <v>99</v>
      </c>
      <c r="AC56" s="52"/>
      <c r="AD56" s="46" t="s">
        <v>101</v>
      </c>
      <c r="AE56" s="46" t="s">
        <v>101</v>
      </c>
      <c r="AF56" s="46" t="s">
        <v>101</v>
      </c>
      <c r="AG56" s="46" t="s">
        <v>101</v>
      </c>
      <c r="AH56" s="46" t="s">
        <v>101</v>
      </c>
      <c r="AI56" s="46" t="s">
        <v>101</v>
      </c>
      <c r="AJ56" s="27" t="str">
        <f t="shared" si="2"/>
        <v>ND</v>
      </c>
      <c r="AK56" s="47" t="str">
        <f t="shared" si="3"/>
        <v/>
      </c>
      <c r="AL56" s="27" t="str">
        <f t="shared" si="4"/>
        <v>증빙 미입증</v>
      </c>
      <c r="AM56" s="48"/>
      <c r="AN56" s="48" t="s">
        <v>109</v>
      </c>
    </row>
    <row r="57" ht="61.5" customHeight="1">
      <c r="B57" s="60" t="s">
        <v>440</v>
      </c>
      <c r="C57" s="61"/>
      <c r="D57" s="67" t="str">
        <f>IF(COUNT(D49,D53)&lt;2,"",AVERAGE(D49,D53)*3/4)</f>
        <v/>
      </c>
      <c r="E57" s="63" t="s">
        <v>289</v>
      </c>
      <c r="F57" s="64"/>
      <c r="G57" s="65"/>
      <c r="H57" s="66"/>
      <c r="U57" s="52"/>
      <c r="V57" s="52"/>
      <c r="W57" s="19" t="s">
        <v>140</v>
      </c>
      <c r="X57" s="6" t="s">
        <v>442</v>
      </c>
      <c r="Y57" s="43">
        <v>0.2</v>
      </c>
      <c r="Z57" s="44">
        <v>0.2</v>
      </c>
      <c r="AA57" s="6" t="s">
        <v>609</v>
      </c>
      <c r="AB57" s="6" t="s">
        <v>99</v>
      </c>
      <c r="AC57" s="52"/>
      <c r="AD57" s="46" t="s">
        <v>101</v>
      </c>
      <c r="AE57" s="46" t="s">
        <v>101</v>
      </c>
      <c r="AF57" s="46" t="s">
        <v>101</v>
      </c>
      <c r="AG57" s="46" t="s">
        <v>101</v>
      </c>
      <c r="AH57" s="46" t="s">
        <v>101</v>
      </c>
      <c r="AI57" s="46" t="s">
        <v>101</v>
      </c>
      <c r="AJ57" s="27" t="str">
        <f t="shared" si="2"/>
        <v>ND</v>
      </c>
      <c r="AK57" s="47" t="str">
        <f t="shared" si="3"/>
        <v/>
      </c>
      <c r="AL57" s="27" t="str">
        <f t="shared" si="4"/>
        <v>증빙 미입증</v>
      </c>
      <c r="AM57" s="48"/>
      <c r="AN57" s="48" t="s">
        <v>109</v>
      </c>
    </row>
    <row r="58" ht="61.5" customHeight="1">
      <c r="B58" s="28" t="s">
        <v>610</v>
      </c>
      <c r="C58" s="30" t="s">
        <v>611</v>
      </c>
      <c r="D58" s="31" t="str">
        <f>IF(S20="","",S20)</f>
        <v/>
      </c>
      <c r="E58" s="33" t="s">
        <v>93</v>
      </c>
      <c r="F58" s="34" t="s">
        <v>94</v>
      </c>
      <c r="G58" s="35" t="s">
        <v>612</v>
      </c>
      <c r="H58" s="36" t="s">
        <v>613</v>
      </c>
      <c r="U58" s="56"/>
      <c r="V58" s="56"/>
      <c r="W58" s="19" t="s">
        <v>152</v>
      </c>
      <c r="X58" s="6" t="s">
        <v>531</v>
      </c>
      <c r="Y58" s="43">
        <v>0.2</v>
      </c>
      <c r="Z58" s="44">
        <v>0.2</v>
      </c>
      <c r="AA58" s="6" t="s">
        <v>615</v>
      </c>
      <c r="AB58" s="6" t="s">
        <v>99</v>
      </c>
      <c r="AC58" s="56"/>
      <c r="AD58" s="46" t="s">
        <v>101</v>
      </c>
      <c r="AE58" s="46" t="s">
        <v>101</v>
      </c>
      <c r="AF58" s="46" t="s">
        <v>101</v>
      </c>
      <c r="AG58" s="46" t="s">
        <v>101</v>
      </c>
      <c r="AH58" s="46" t="s">
        <v>101</v>
      </c>
      <c r="AI58" s="46" t="s">
        <v>101</v>
      </c>
      <c r="AJ58" s="27" t="str">
        <f t="shared" si="2"/>
        <v>ND</v>
      </c>
      <c r="AK58" s="47" t="str">
        <f t="shared" si="3"/>
        <v/>
      </c>
      <c r="AL58" s="27" t="str">
        <f t="shared" si="4"/>
        <v>증빙 미입증</v>
      </c>
      <c r="AM58" s="48"/>
      <c r="AN58" s="48" t="s">
        <v>109</v>
      </c>
    </row>
    <row r="59" ht="61.5" customHeight="1">
      <c r="B59" s="49"/>
      <c r="C59" s="50"/>
      <c r="D59" s="50"/>
      <c r="E59" s="50"/>
      <c r="F59" s="34" t="s">
        <v>110</v>
      </c>
      <c r="G59" s="35" t="s">
        <v>617</v>
      </c>
      <c r="H59" s="51" t="s">
        <v>618</v>
      </c>
      <c r="U59" s="42" t="s">
        <v>202</v>
      </c>
      <c r="V59" s="42" t="s">
        <v>203</v>
      </c>
      <c r="W59" s="19" t="s">
        <v>97</v>
      </c>
      <c r="X59" s="6" t="s">
        <v>568</v>
      </c>
      <c r="Y59" s="43">
        <v>0.2</v>
      </c>
      <c r="Z59" s="44">
        <v>0.2</v>
      </c>
      <c r="AA59" s="6" t="s">
        <v>619</v>
      </c>
      <c r="AB59" s="6" t="s">
        <v>99</v>
      </c>
      <c r="AC59" s="45" t="s">
        <v>571</v>
      </c>
      <c r="AD59" s="46" t="s">
        <v>101</v>
      </c>
      <c r="AE59" s="46" t="s">
        <v>101</v>
      </c>
      <c r="AF59" s="46" t="s">
        <v>101</v>
      </c>
      <c r="AG59" s="46" t="s">
        <v>101</v>
      </c>
      <c r="AH59" s="46" t="s">
        <v>101</v>
      </c>
      <c r="AI59" s="46" t="s">
        <v>101</v>
      </c>
      <c r="AJ59" s="27" t="str">
        <f t="shared" si="2"/>
        <v>ND</v>
      </c>
      <c r="AK59" s="47" t="str">
        <f t="shared" si="3"/>
        <v/>
      </c>
      <c r="AL59" s="27" t="str">
        <f t="shared" si="4"/>
        <v>증빙 미입증</v>
      </c>
      <c r="AM59" s="48"/>
      <c r="AN59" s="48" t="s">
        <v>109</v>
      </c>
    </row>
    <row r="60" ht="61.5" customHeight="1">
      <c r="B60" s="49"/>
      <c r="C60" s="50"/>
      <c r="D60" s="50"/>
      <c r="E60" s="50"/>
      <c r="F60" s="34" t="s">
        <v>119</v>
      </c>
      <c r="G60" s="35" t="s">
        <v>621</v>
      </c>
      <c r="H60" s="53" t="s">
        <v>622</v>
      </c>
      <c r="U60" s="52"/>
      <c r="V60" s="52"/>
      <c r="W60" s="19" t="s">
        <v>117</v>
      </c>
      <c r="X60" s="6" t="s">
        <v>577</v>
      </c>
      <c r="Y60" s="43">
        <v>0.2</v>
      </c>
      <c r="Z60" s="44">
        <v>0.2</v>
      </c>
      <c r="AA60" s="6" t="s">
        <v>623</v>
      </c>
      <c r="AB60" s="6" t="s">
        <v>99</v>
      </c>
      <c r="AC60" s="52"/>
      <c r="AD60" s="46" t="s">
        <v>101</v>
      </c>
      <c r="AE60" s="46" t="s">
        <v>101</v>
      </c>
      <c r="AF60" s="46" t="s">
        <v>101</v>
      </c>
      <c r="AG60" s="46" t="s">
        <v>101</v>
      </c>
      <c r="AH60" s="46" t="s">
        <v>101</v>
      </c>
      <c r="AI60" s="46" t="s">
        <v>101</v>
      </c>
      <c r="AJ60" s="27" t="str">
        <f t="shared" si="2"/>
        <v>ND</v>
      </c>
      <c r="AK60" s="47" t="str">
        <f t="shared" si="3"/>
        <v/>
      </c>
      <c r="AL60" s="27" t="str">
        <f t="shared" si="4"/>
        <v>증빙 미입증</v>
      </c>
      <c r="AM60" s="48"/>
      <c r="AN60" s="48" t="s">
        <v>109</v>
      </c>
    </row>
    <row r="61" ht="61.5" customHeight="1">
      <c r="B61" s="59"/>
      <c r="C61" s="54"/>
      <c r="D61" s="54"/>
      <c r="E61" s="54"/>
      <c r="F61" s="34" t="s">
        <v>131</v>
      </c>
      <c r="G61" s="35" t="s">
        <v>625</v>
      </c>
      <c r="H61" s="55" t="s">
        <v>626</v>
      </c>
      <c r="U61" s="52"/>
      <c r="V61" s="52"/>
      <c r="W61" s="19" t="s">
        <v>129</v>
      </c>
      <c r="X61" s="6" t="s">
        <v>579</v>
      </c>
      <c r="Y61" s="43">
        <v>0.2</v>
      </c>
      <c r="Z61" s="44">
        <v>0.2</v>
      </c>
      <c r="AA61" s="6" t="s">
        <v>627</v>
      </c>
      <c r="AB61" s="6" t="s">
        <v>99</v>
      </c>
      <c r="AC61" s="52"/>
      <c r="AD61" s="46" t="s">
        <v>101</v>
      </c>
      <c r="AE61" s="46" t="s">
        <v>101</v>
      </c>
      <c r="AF61" s="46" t="s">
        <v>101</v>
      </c>
      <c r="AG61" s="46" t="s">
        <v>101</v>
      </c>
      <c r="AH61" s="46" t="s">
        <v>101</v>
      </c>
      <c r="AI61" s="46" t="s">
        <v>101</v>
      </c>
      <c r="AJ61" s="27" t="str">
        <f t="shared" si="2"/>
        <v>ND</v>
      </c>
      <c r="AK61" s="47" t="str">
        <f t="shared" si="3"/>
        <v/>
      </c>
      <c r="AL61" s="27" t="str">
        <f t="shared" si="4"/>
        <v>증빙 미입증</v>
      </c>
      <c r="AM61" s="48"/>
      <c r="AN61" s="48" t="s">
        <v>109</v>
      </c>
    </row>
    <row r="62" ht="61.5" customHeight="1">
      <c r="B62" s="60" t="s">
        <v>628</v>
      </c>
      <c r="C62" s="61"/>
      <c r="D62" s="67" t="str">
        <f>IF(D58="","",D58)</f>
        <v/>
      </c>
      <c r="E62" s="63" t="s">
        <v>93</v>
      </c>
      <c r="F62" s="64"/>
      <c r="G62" s="65"/>
      <c r="H62" s="66"/>
      <c r="U62" s="52"/>
      <c r="V62" s="52"/>
      <c r="W62" s="19" t="s">
        <v>140</v>
      </c>
      <c r="X62" s="6" t="s">
        <v>582</v>
      </c>
      <c r="Y62" s="43">
        <v>0.2</v>
      </c>
      <c r="Z62" s="44">
        <v>0.2</v>
      </c>
      <c r="AA62" s="6" t="s">
        <v>630</v>
      </c>
      <c r="AB62" s="6" t="s">
        <v>99</v>
      </c>
      <c r="AC62" s="52"/>
      <c r="AD62" s="46" t="s">
        <v>101</v>
      </c>
      <c r="AE62" s="46" t="s">
        <v>101</v>
      </c>
      <c r="AF62" s="46" t="s">
        <v>101</v>
      </c>
      <c r="AG62" s="46" t="s">
        <v>101</v>
      </c>
      <c r="AH62" s="46" t="s">
        <v>101</v>
      </c>
      <c r="AI62" s="46" t="s">
        <v>101</v>
      </c>
      <c r="AJ62" s="27" t="str">
        <f t="shared" si="2"/>
        <v>ND</v>
      </c>
      <c r="AK62" s="47" t="str">
        <f t="shared" si="3"/>
        <v/>
      </c>
      <c r="AL62" s="27" t="str">
        <f t="shared" si="4"/>
        <v>증빙 미입증</v>
      </c>
      <c r="AM62" s="48"/>
      <c r="AN62" s="48" t="s">
        <v>109</v>
      </c>
    </row>
    <row r="63" ht="61.5" customHeight="1">
      <c r="A63" s="76"/>
      <c r="B63" s="77" t="s">
        <v>387</v>
      </c>
      <c r="C63" s="78"/>
      <c r="D63" s="92" t="str">
        <f>IF(COUNT(D17,D26,D39,D48,D57,D62)&lt;6,"",SUM(D17,D26,D39,D48,D57,D62))</f>
        <v/>
      </c>
      <c r="E63" s="80" t="s">
        <v>388</v>
      </c>
      <c r="F63" s="79"/>
      <c r="G63" s="82"/>
      <c r="H63" s="76"/>
      <c r="I63" s="76"/>
      <c r="J63" s="76"/>
      <c r="K63" s="76"/>
      <c r="L63" s="76"/>
      <c r="M63" s="76"/>
      <c r="N63" s="76"/>
      <c r="O63" s="76"/>
      <c r="P63" s="76"/>
      <c r="Q63" s="76"/>
      <c r="R63" s="76"/>
      <c r="S63" s="76"/>
      <c r="T63" s="76"/>
      <c r="U63" s="56"/>
      <c r="V63" s="56"/>
      <c r="W63" s="19" t="s">
        <v>152</v>
      </c>
      <c r="X63" s="19" t="s">
        <v>587</v>
      </c>
      <c r="Y63" s="43">
        <v>0.2</v>
      </c>
      <c r="Z63" s="44">
        <v>0.2</v>
      </c>
      <c r="AA63" s="6" t="s">
        <v>634</v>
      </c>
      <c r="AB63" s="6" t="s">
        <v>99</v>
      </c>
      <c r="AC63" s="56"/>
      <c r="AD63" s="46" t="s">
        <v>101</v>
      </c>
      <c r="AE63" s="46" t="s">
        <v>101</v>
      </c>
      <c r="AF63" s="46" t="s">
        <v>101</v>
      </c>
      <c r="AG63" s="46" t="s">
        <v>101</v>
      </c>
      <c r="AH63" s="46" t="s">
        <v>101</v>
      </c>
      <c r="AI63" s="46" t="s">
        <v>101</v>
      </c>
      <c r="AJ63" s="27" t="str">
        <f t="shared" si="2"/>
        <v>ND</v>
      </c>
      <c r="AK63" s="47" t="str">
        <f t="shared" si="3"/>
        <v/>
      </c>
      <c r="AL63" s="27" t="str">
        <f t="shared" si="4"/>
        <v>증빙 미입증</v>
      </c>
      <c r="AM63" s="48"/>
      <c r="AN63" s="48" t="s">
        <v>109</v>
      </c>
    </row>
    <row r="64" ht="61.5" customHeight="1">
      <c r="B64" s="86"/>
      <c r="C64" s="87"/>
      <c r="D64" s="88" t="str">
        <f>IF(D63="","",IF(D63&gt;=18,"매우성공적",IF(D63&gt;=14,"성공적",IF(D63&gt;=10,"부분성공적","미흡"))))</f>
        <v/>
      </c>
      <c r="E64" s="89"/>
      <c r="F64" s="90"/>
      <c r="G64" s="91"/>
      <c r="U64" s="57" t="s">
        <v>398</v>
      </c>
      <c r="V64" s="57" t="s">
        <v>399</v>
      </c>
      <c r="W64" s="19" t="s">
        <v>97</v>
      </c>
      <c r="X64" s="6" t="s">
        <v>637</v>
      </c>
      <c r="Y64" s="43">
        <v>0.2</v>
      </c>
      <c r="Z64" s="44">
        <v>0.2</v>
      </c>
      <c r="AA64" s="6" t="s">
        <v>638</v>
      </c>
      <c r="AB64" s="6" t="s">
        <v>99</v>
      </c>
      <c r="AC64" s="58" t="s">
        <v>639</v>
      </c>
      <c r="AD64" s="46" t="s">
        <v>101</v>
      </c>
      <c r="AE64" s="46" t="s">
        <v>101</v>
      </c>
      <c r="AF64" s="46" t="s">
        <v>101</v>
      </c>
      <c r="AG64" s="46" t="s">
        <v>101</v>
      </c>
      <c r="AH64" s="46" t="s">
        <v>101</v>
      </c>
      <c r="AI64" s="46" t="s">
        <v>101</v>
      </c>
      <c r="AJ64" s="27" t="str">
        <f t="shared" si="2"/>
        <v>ND</v>
      </c>
      <c r="AK64" s="47" t="str">
        <f t="shared" si="3"/>
        <v/>
      </c>
      <c r="AL64" s="27" t="str">
        <f t="shared" si="4"/>
        <v>증빙 미입증</v>
      </c>
      <c r="AM64" s="48"/>
      <c r="AN64" s="48" t="s">
        <v>109</v>
      </c>
    </row>
    <row r="65" ht="61.5" customHeight="1">
      <c r="F65" s="5"/>
      <c r="U65" s="52"/>
      <c r="V65" s="52"/>
      <c r="W65" s="19" t="s">
        <v>117</v>
      </c>
      <c r="X65" s="6" t="s">
        <v>640</v>
      </c>
      <c r="Y65" s="43">
        <v>0.2</v>
      </c>
      <c r="Z65" s="44">
        <v>0.2</v>
      </c>
      <c r="AA65" s="6" t="s">
        <v>641</v>
      </c>
      <c r="AB65" s="6" t="s">
        <v>99</v>
      </c>
      <c r="AC65" s="52"/>
      <c r="AD65" s="46" t="s">
        <v>101</v>
      </c>
      <c r="AE65" s="46" t="s">
        <v>101</v>
      </c>
      <c r="AF65" s="46" t="s">
        <v>101</v>
      </c>
      <c r="AG65" s="46" t="s">
        <v>101</v>
      </c>
      <c r="AH65" s="46" t="s">
        <v>101</v>
      </c>
      <c r="AI65" s="46" t="s">
        <v>101</v>
      </c>
      <c r="AJ65" s="27" t="str">
        <f t="shared" si="2"/>
        <v>ND</v>
      </c>
      <c r="AK65" s="47" t="str">
        <f t="shared" si="3"/>
        <v/>
      </c>
      <c r="AL65" s="27" t="str">
        <f t="shared" si="4"/>
        <v>증빙 미입증</v>
      </c>
      <c r="AM65" s="48"/>
      <c r="AN65" s="48" t="s">
        <v>109</v>
      </c>
    </row>
    <row r="66" ht="61.5" customHeight="1">
      <c r="F66" s="5"/>
      <c r="U66" s="52"/>
      <c r="V66" s="52"/>
      <c r="W66" s="19" t="s">
        <v>129</v>
      </c>
      <c r="X66" s="6" t="s">
        <v>301</v>
      </c>
      <c r="Y66" s="43">
        <v>0.2</v>
      </c>
      <c r="Z66" s="44">
        <v>0.2</v>
      </c>
      <c r="AA66" s="6" t="s">
        <v>642</v>
      </c>
      <c r="AB66" s="6" t="s">
        <v>99</v>
      </c>
      <c r="AC66" s="52"/>
      <c r="AD66" s="46" t="s">
        <v>101</v>
      </c>
      <c r="AE66" s="46" t="s">
        <v>101</v>
      </c>
      <c r="AF66" s="46" t="s">
        <v>101</v>
      </c>
      <c r="AG66" s="46" t="s">
        <v>101</v>
      </c>
      <c r="AH66" s="46" t="s">
        <v>101</v>
      </c>
      <c r="AI66" s="46" t="s">
        <v>101</v>
      </c>
      <c r="AJ66" s="27" t="str">
        <f t="shared" si="2"/>
        <v>ND</v>
      </c>
      <c r="AK66" s="47" t="str">
        <f t="shared" si="3"/>
        <v/>
      </c>
      <c r="AL66" s="27" t="str">
        <f t="shared" si="4"/>
        <v>증빙 미입증</v>
      </c>
      <c r="AM66" s="48"/>
      <c r="AN66" s="48" t="s">
        <v>109</v>
      </c>
    </row>
    <row r="67" ht="61.5" customHeight="1">
      <c r="F67" s="5"/>
      <c r="U67" s="52"/>
      <c r="V67" s="52"/>
      <c r="W67" s="19" t="s">
        <v>140</v>
      </c>
      <c r="X67" s="6" t="s">
        <v>643</v>
      </c>
      <c r="Y67" s="43">
        <v>0.2</v>
      </c>
      <c r="Z67" s="44">
        <v>0.2</v>
      </c>
      <c r="AA67" s="6" t="s">
        <v>644</v>
      </c>
      <c r="AB67" s="6" t="s">
        <v>99</v>
      </c>
      <c r="AC67" s="52"/>
      <c r="AD67" s="46" t="s">
        <v>101</v>
      </c>
      <c r="AE67" s="46" t="s">
        <v>101</v>
      </c>
      <c r="AF67" s="46" t="s">
        <v>101</v>
      </c>
      <c r="AG67" s="46" t="s">
        <v>101</v>
      </c>
      <c r="AH67" s="46" t="s">
        <v>101</v>
      </c>
      <c r="AI67" s="46" t="s">
        <v>101</v>
      </c>
      <c r="AJ67" s="27" t="str">
        <f t="shared" si="2"/>
        <v>ND</v>
      </c>
      <c r="AK67" s="47" t="str">
        <f t="shared" si="3"/>
        <v/>
      </c>
      <c r="AL67" s="27" t="str">
        <f t="shared" si="4"/>
        <v>증빙 미입증</v>
      </c>
      <c r="AM67" s="48"/>
      <c r="AN67" s="48" t="s">
        <v>109</v>
      </c>
    </row>
    <row r="68" ht="61.5" customHeight="1">
      <c r="F68" s="5"/>
      <c r="U68" s="56"/>
      <c r="V68" s="56"/>
      <c r="W68" s="19" t="s">
        <v>152</v>
      </c>
      <c r="X68" s="6" t="s">
        <v>645</v>
      </c>
      <c r="Y68" s="43">
        <v>0.2</v>
      </c>
      <c r="Z68" s="44">
        <v>0.2</v>
      </c>
      <c r="AA68" s="6" t="s">
        <v>646</v>
      </c>
      <c r="AB68" s="6" t="s">
        <v>99</v>
      </c>
      <c r="AC68" s="56"/>
      <c r="AD68" s="46" t="s">
        <v>101</v>
      </c>
      <c r="AE68" s="46" t="s">
        <v>101</v>
      </c>
      <c r="AF68" s="46" t="s">
        <v>101</v>
      </c>
      <c r="AG68" s="46" t="s">
        <v>101</v>
      </c>
      <c r="AH68" s="46" t="s">
        <v>101</v>
      </c>
      <c r="AI68" s="46" t="s">
        <v>101</v>
      </c>
      <c r="AJ68" s="27" t="str">
        <f t="shared" si="2"/>
        <v>ND</v>
      </c>
      <c r="AK68" s="47" t="str">
        <f t="shared" si="3"/>
        <v/>
      </c>
      <c r="AL68" s="27" t="str">
        <f t="shared" si="4"/>
        <v>증빙 미입증</v>
      </c>
      <c r="AM68" s="48"/>
      <c r="AN68" s="48" t="s">
        <v>109</v>
      </c>
    </row>
    <row r="69" ht="16.5" customHeight="1">
      <c r="F69" s="5"/>
    </row>
    <row r="70" ht="16.5" customHeight="1">
      <c r="F70" s="5"/>
    </row>
    <row r="71" ht="16.5" customHeight="1">
      <c r="F71" s="5"/>
    </row>
    <row r="72" ht="16.5" customHeight="1">
      <c r="F72" s="5"/>
    </row>
    <row r="73" ht="16.5" customHeight="1">
      <c r="F73" s="5"/>
    </row>
    <row r="74" ht="16.5" customHeight="1">
      <c r="F74" s="5"/>
    </row>
    <row r="75" ht="16.5" customHeight="1">
      <c r="F75" s="5"/>
    </row>
    <row r="76" ht="16.5" customHeight="1">
      <c r="F76" s="5"/>
    </row>
    <row r="77" ht="16.5" customHeight="1">
      <c r="F77" s="5"/>
    </row>
    <row r="78" ht="16.5" customHeight="1">
      <c r="F78" s="5"/>
    </row>
    <row r="79" ht="16.5" customHeight="1">
      <c r="F79" s="5"/>
    </row>
    <row r="80" ht="16.5" customHeight="1">
      <c r="F80" s="5"/>
    </row>
    <row r="81" ht="16.5" customHeight="1">
      <c r="F81" s="5"/>
    </row>
    <row r="82" ht="16.5" customHeight="1">
      <c r="F82" s="5"/>
    </row>
    <row r="83" ht="16.5" customHeight="1">
      <c r="F83" s="5"/>
    </row>
    <row r="84" ht="16.5" customHeight="1">
      <c r="F84" s="5"/>
    </row>
    <row r="85" ht="16.5" customHeight="1">
      <c r="F85" s="5"/>
    </row>
    <row r="86" ht="16.5" customHeight="1">
      <c r="F86" s="5"/>
    </row>
    <row r="87" ht="16.5" customHeight="1">
      <c r="F87" s="5"/>
    </row>
    <row r="88" ht="16.5" customHeight="1">
      <c r="F88" s="5"/>
    </row>
    <row r="89" ht="16.5" customHeight="1">
      <c r="F89" s="5"/>
    </row>
    <row r="90" ht="16.5" customHeight="1">
      <c r="F90" s="5"/>
    </row>
    <row r="91" ht="16.5" customHeight="1">
      <c r="F91" s="5"/>
    </row>
    <row r="92" ht="16.5" customHeight="1">
      <c r="F92" s="5"/>
    </row>
    <row r="93" ht="16.5" customHeight="1">
      <c r="F93" s="5"/>
    </row>
    <row r="94" ht="16.5" customHeight="1">
      <c r="F94" s="5"/>
    </row>
    <row r="95" ht="16.5" customHeight="1">
      <c r="F95" s="5"/>
    </row>
    <row r="96" ht="16.5" customHeight="1">
      <c r="F96" s="5"/>
    </row>
    <row r="97" ht="16.5" customHeight="1">
      <c r="F97" s="5"/>
    </row>
    <row r="98" ht="16.5" customHeight="1">
      <c r="F98" s="5"/>
    </row>
    <row r="99" ht="16.5" customHeight="1">
      <c r="F99" s="5"/>
    </row>
    <row r="100" ht="16.5" customHeight="1">
      <c r="F100" s="5"/>
    </row>
    <row r="101" ht="16.5" customHeight="1">
      <c r="F101" s="5"/>
    </row>
    <row r="102" ht="16.5" customHeight="1">
      <c r="F102" s="5"/>
    </row>
    <row r="103" ht="16.5" customHeight="1">
      <c r="F103" s="5"/>
    </row>
    <row r="104" ht="16.5" customHeight="1">
      <c r="F104" s="5"/>
    </row>
    <row r="105" ht="16.5" customHeight="1">
      <c r="F105" s="5"/>
    </row>
    <row r="106" ht="16.5" customHeight="1">
      <c r="F106" s="5"/>
    </row>
    <row r="107" ht="16.5" customHeight="1">
      <c r="F107" s="5"/>
    </row>
    <row r="108" ht="16.5" customHeight="1">
      <c r="F108" s="5"/>
    </row>
    <row r="109" ht="16.5" customHeight="1">
      <c r="F109" s="5"/>
    </row>
    <row r="110" ht="16.5" customHeight="1">
      <c r="F110" s="5"/>
    </row>
    <row r="111" ht="16.5" customHeight="1">
      <c r="F111" s="5"/>
    </row>
    <row r="112" ht="16.5" customHeight="1">
      <c r="F112" s="5"/>
    </row>
    <row r="113" ht="16.5" customHeight="1">
      <c r="F113" s="5"/>
    </row>
    <row r="114" ht="16.5" customHeight="1">
      <c r="F114" s="5"/>
    </row>
    <row r="115" ht="16.5" customHeight="1">
      <c r="F115" s="5"/>
    </row>
    <row r="116" ht="16.5" customHeight="1">
      <c r="F116" s="5"/>
    </row>
    <row r="117" ht="16.5" customHeight="1">
      <c r="F117" s="5"/>
    </row>
    <row r="118" ht="16.5" customHeight="1">
      <c r="F118" s="5"/>
    </row>
    <row r="119" ht="16.5" customHeight="1">
      <c r="F119" s="5"/>
    </row>
    <row r="120" ht="16.5" customHeight="1">
      <c r="F120" s="5"/>
    </row>
    <row r="121" ht="16.5" customHeight="1">
      <c r="F121" s="5"/>
    </row>
    <row r="122" ht="16.5" customHeight="1">
      <c r="F122" s="5"/>
    </row>
    <row r="123" ht="16.5" customHeight="1">
      <c r="F123" s="5"/>
    </row>
    <row r="124" ht="16.5" customHeight="1">
      <c r="F124" s="5"/>
    </row>
    <row r="125" ht="16.5" customHeight="1">
      <c r="F125" s="5"/>
    </row>
    <row r="126" ht="16.5" customHeight="1">
      <c r="F126" s="5"/>
    </row>
    <row r="127" ht="16.5" customHeight="1">
      <c r="F127" s="5"/>
    </row>
    <row r="128" ht="16.5" customHeight="1">
      <c r="F128" s="5"/>
    </row>
    <row r="129" ht="16.5" customHeight="1">
      <c r="F129" s="5"/>
    </row>
    <row r="130" ht="16.5" customHeight="1">
      <c r="F130" s="5"/>
    </row>
    <row r="131" ht="16.5" customHeight="1">
      <c r="F131" s="5"/>
    </row>
    <row r="132" ht="16.5" customHeight="1">
      <c r="F132" s="5"/>
    </row>
    <row r="133" ht="16.5" customHeight="1">
      <c r="F133" s="5"/>
    </row>
    <row r="134" ht="16.5" customHeight="1">
      <c r="F134" s="5"/>
    </row>
    <row r="135" ht="16.5" customHeight="1">
      <c r="F135" s="5"/>
    </row>
    <row r="136" ht="16.5" customHeight="1">
      <c r="F136" s="5"/>
    </row>
    <row r="137" ht="16.5" customHeight="1">
      <c r="F137" s="5"/>
    </row>
    <row r="138" ht="16.5" customHeight="1">
      <c r="F138" s="5"/>
    </row>
    <row r="139" ht="16.5" customHeight="1">
      <c r="F139" s="5"/>
    </row>
    <row r="140" ht="16.5" customHeight="1">
      <c r="F140" s="5"/>
    </row>
    <row r="141" ht="16.5" customHeight="1">
      <c r="F141" s="5"/>
    </row>
    <row r="142" ht="16.5" customHeight="1">
      <c r="F142" s="5"/>
    </row>
    <row r="143" ht="16.5" customHeight="1">
      <c r="F143" s="5"/>
    </row>
    <row r="144" ht="16.5" customHeight="1">
      <c r="F144" s="5"/>
    </row>
    <row r="145" ht="16.5" customHeight="1">
      <c r="F145" s="5"/>
    </row>
    <row r="146" ht="16.5" customHeight="1">
      <c r="F146" s="5"/>
    </row>
    <row r="147" ht="16.5" customHeight="1">
      <c r="F147" s="5"/>
    </row>
    <row r="148" ht="16.5" customHeight="1">
      <c r="F148" s="5"/>
    </row>
    <row r="149" ht="16.5" customHeight="1">
      <c r="F149" s="5"/>
    </row>
    <row r="150" ht="16.5" customHeight="1">
      <c r="F150" s="5"/>
    </row>
    <row r="151" ht="16.5" customHeight="1">
      <c r="F151" s="5"/>
    </row>
    <row r="152" ht="16.5" customHeight="1">
      <c r="F152" s="5"/>
    </row>
    <row r="153" ht="16.5" customHeight="1">
      <c r="F153" s="5"/>
    </row>
    <row r="154" ht="16.5" customHeight="1">
      <c r="F154" s="5"/>
    </row>
    <row r="155" ht="16.5" customHeight="1">
      <c r="F155" s="5"/>
    </row>
    <row r="156" ht="16.5" customHeight="1">
      <c r="F156" s="5"/>
    </row>
    <row r="157" ht="16.5" customHeight="1">
      <c r="F157" s="5"/>
    </row>
    <row r="158" ht="16.5" customHeight="1">
      <c r="F158" s="5"/>
    </row>
    <row r="159" ht="16.5" customHeight="1">
      <c r="F159" s="5"/>
    </row>
    <row r="160" ht="16.5" customHeight="1">
      <c r="F160" s="5"/>
    </row>
    <row r="161" ht="16.5" customHeight="1">
      <c r="F161" s="5"/>
    </row>
    <row r="162" ht="16.5" customHeight="1">
      <c r="F162" s="5"/>
    </row>
    <row r="163" ht="16.5" customHeight="1">
      <c r="F163" s="5"/>
    </row>
    <row r="164" ht="16.5" customHeight="1">
      <c r="F164" s="5"/>
    </row>
    <row r="165" ht="16.5" customHeight="1">
      <c r="F165" s="5"/>
    </row>
    <row r="166" ht="16.5" customHeight="1">
      <c r="F166" s="5"/>
    </row>
    <row r="167" ht="16.5" customHeight="1">
      <c r="F167" s="5"/>
    </row>
    <row r="168" ht="16.5" customHeight="1">
      <c r="F168" s="5"/>
    </row>
    <row r="169" ht="16.5" customHeight="1">
      <c r="F169" s="5"/>
    </row>
    <row r="170" ht="16.5" customHeight="1">
      <c r="F170" s="5"/>
    </row>
    <row r="171" ht="16.5" customHeight="1">
      <c r="F171" s="5"/>
    </row>
    <row r="172" ht="16.5" customHeight="1">
      <c r="F172" s="5"/>
    </row>
    <row r="173" ht="16.5" customHeight="1">
      <c r="F173" s="5"/>
    </row>
    <row r="174" ht="16.5" customHeight="1">
      <c r="F174" s="5"/>
    </row>
    <row r="175" ht="16.5" customHeight="1">
      <c r="F175" s="5"/>
    </row>
    <row r="176" ht="16.5" customHeight="1">
      <c r="F176" s="5"/>
    </row>
    <row r="177" ht="16.5" customHeight="1">
      <c r="F177" s="5"/>
    </row>
    <row r="178" ht="16.5" customHeight="1">
      <c r="F178" s="5"/>
    </row>
    <row r="179" ht="16.5" customHeight="1">
      <c r="F179" s="5"/>
    </row>
    <row r="180" ht="16.5" customHeight="1">
      <c r="F180" s="5"/>
    </row>
    <row r="181" ht="16.5" customHeight="1">
      <c r="F181" s="5"/>
    </row>
    <row r="182" ht="16.5" customHeight="1">
      <c r="F182" s="5"/>
    </row>
    <row r="183" ht="16.5" customHeight="1">
      <c r="F183" s="5"/>
    </row>
    <row r="184" ht="16.5" customHeight="1">
      <c r="F184" s="5"/>
    </row>
    <row r="185" ht="16.5" customHeight="1">
      <c r="F185" s="5"/>
    </row>
    <row r="186" ht="16.5" customHeight="1">
      <c r="F186" s="5"/>
    </row>
    <row r="187" ht="16.5" customHeight="1">
      <c r="F187" s="5"/>
    </row>
    <row r="188" ht="16.5" customHeight="1">
      <c r="F188" s="5"/>
    </row>
    <row r="189" ht="16.5" customHeight="1">
      <c r="F189" s="5"/>
    </row>
    <row r="190" ht="16.5" customHeight="1">
      <c r="F190" s="5"/>
    </row>
    <row r="191" ht="16.5" customHeight="1">
      <c r="F191" s="5"/>
    </row>
    <row r="192" ht="16.5" customHeight="1">
      <c r="F192" s="5"/>
    </row>
    <row r="193" ht="16.5" customHeight="1">
      <c r="F193" s="5"/>
    </row>
    <row r="194" ht="16.5" customHeight="1">
      <c r="F194" s="5"/>
    </row>
    <row r="195" ht="16.5" customHeight="1">
      <c r="F195" s="5"/>
    </row>
    <row r="196" ht="16.5" customHeight="1">
      <c r="F196" s="5"/>
    </row>
    <row r="197" ht="16.5" customHeight="1">
      <c r="F197" s="5"/>
    </row>
    <row r="198" ht="16.5" customHeight="1">
      <c r="F198" s="5"/>
    </row>
    <row r="199" ht="16.5" customHeight="1">
      <c r="F199" s="5"/>
    </row>
    <row r="200" ht="16.5" customHeight="1">
      <c r="F200" s="5"/>
    </row>
    <row r="201" ht="16.5" customHeight="1">
      <c r="F201" s="5"/>
    </row>
    <row r="202" ht="16.5" customHeight="1">
      <c r="F202" s="5"/>
    </row>
    <row r="203" ht="16.5" customHeight="1">
      <c r="F203" s="5"/>
    </row>
    <row r="204" ht="16.5" customHeight="1">
      <c r="F204" s="5"/>
    </row>
    <row r="205" ht="16.5" customHeight="1">
      <c r="F205" s="5"/>
    </row>
    <row r="206" ht="16.5" customHeight="1">
      <c r="F206" s="5"/>
    </row>
    <row r="207" ht="16.5" customHeight="1">
      <c r="F207" s="5"/>
    </row>
    <row r="208" ht="16.5" customHeight="1">
      <c r="F208" s="5"/>
    </row>
    <row r="209" ht="16.5" customHeight="1">
      <c r="F209" s="5"/>
    </row>
    <row r="210" ht="16.5" customHeight="1">
      <c r="F210" s="5"/>
    </row>
    <row r="211" ht="16.5" customHeight="1">
      <c r="F211" s="5"/>
    </row>
    <row r="212" ht="16.5" customHeight="1">
      <c r="F212" s="5"/>
    </row>
    <row r="213" ht="16.5" customHeight="1">
      <c r="F213" s="5"/>
    </row>
    <row r="214" ht="16.5" customHeight="1">
      <c r="F214" s="5"/>
    </row>
    <row r="215" ht="16.5" customHeight="1">
      <c r="F215" s="5"/>
    </row>
    <row r="216" ht="16.5" customHeight="1">
      <c r="F216" s="5"/>
    </row>
    <row r="217" ht="16.5" customHeight="1">
      <c r="F217" s="5"/>
    </row>
    <row r="218" ht="16.5" customHeight="1">
      <c r="F218" s="5"/>
    </row>
    <row r="219" ht="16.5" customHeight="1">
      <c r="F219" s="5"/>
    </row>
    <row r="220" ht="16.5" customHeight="1">
      <c r="F220" s="5"/>
    </row>
    <row r="221" ht="16.5" customHeight="1">
      <c r="F221" s="5"/>
    </row>
    <row r="222" ht="16.5" customHeight="1">
      <c r="F222" s="5"/>
    </row>
    <row r="223" ht="16.5" customHeight="1">
      <c r="F223" s="5"/>
    </row>
    <row r="224" ht="16.5" customHeight="1">
      <c r="F224" s="5"/>
    </row>
    <row r="225" ht="16.5" customHeight="1">
      <c r="F225" s="5"/>
    </row>
    <row r="226" ht="16.5" customHeight="1">
      <c r="F226" s="5"/>
    </row>
    <row r="227" ht="16.5" customHeight="1">
      <c r="F227" s="5"/>
    </row>
    <row r="228" ht="16.5" customHeight="1">
      <c r="F228" s="5"/>
    </row>
    <row r="229" ht="16.5" customHeight="1">
      <c r="F229" s="5"/>
    </row>
    <row r="230" ht="16.5" customHeight="1">
      <c r="F230" s="5"/>
    </row>
    <row r="231" ht="16.5" customHeight="1">
      <c r="F231" s="5"/>
    </row>
    <row r="232" ht="16.5" customHeight="1">
      <c r="F232" s="5"/>
    </row>
    <row r="233" ht="16.5" customHeight="1">
      <c r="F233" s="5"/>
    </row>
    <row r="234" ht="16.5" customHeight="1">
      <c r="F234" s="5"/>
    </row>
    <row r="235" ht="16.5" customHeight="1">
      <c r="F235" s="5"/>
    </row>
    <row r="236" ht="16.5" customHeight="1">
      <c r="F236" s="5"/>
    </row>
    <row r="237" ht="16.5" customHeight="1">
      <c r="F237" s="5"/>
    </row>
    <row r="238" ht="16.5" customHeight="1">
      <c r="F238" s="5"/>
    </row>
    <row r="239" ht="16.5" customHeight="1">
      <c r="F239" s="5"/>
    </row>
    <row r="240" ht="16.5" customHeight="1">
      <c r="F240" s="5"/>
    </row>
    <row r="241" ht="16.5" customHeight="1">
      <c r="F241" s="5"/>
    </row>
    <row r="242" ht="16.5" customHeight="1">
      <c r="F242" s="5"/>
    </row>
    <row r="243" ht="16.5" customHeight="1">
      <c r="F243" s="5"/>
    </row>
    <row r="244" ht="16.5" customHeight="1">
      <c r="F244" s="5"/>
    </row>
    <row r="245" ht="16.5" customHeight="1">
      <c r="F245" s="5"/>
    </row>
    <row r="246" ht="16.5" customHeight="1">
      <c r="F246" s="5"/>
    </row>
    <row r="247" ht="16.5" customHeight="1">
      <c r="F247" s="5"/>
    </row>
    <row r="248" ht="16.5" customHeight="1">
      <c r="F248" s="5"/>
    </row>
    <row r="249" ht="16.5" customHeight="1">
      <c r="F249" s="5"/>
    </row>
    <row r="250" ht="16.5" customHeight="1">
      <c r="F250" s="5"/>
    </row>
    <row r="251" ht="16.5" customHeight="1">
      <c r="F251" s="5"/>
    </row>
    <row r="252" ht="16.5" customHeight="1">
      <c r="F252" s="5"/>
    </row>
    <row r="253" ht="16.5" customHeight="1">
      <c r="F253" s="5"/>
    </row>
    <row r="254" ht="16.5" customHeight="1">
      <c r="F254" s="5"/>
    </row>
    <row r="255" ht="16.5" customHeight="1">
      <c r="F255" s="5"/>
    </row>
    <row r="256" ht="16.5" customHeight="1">
      <c r="F256" s="5"/>
    </row>
    <row r="257" ht="16.5" customHeight="1">
      <c r="F257" s="5"/>
    </row>
    <row r="258" ht="16.5" customHeight="1">
      <c r="F258" s="5"/>
    </row>
    <row r="259" ht="16.5" customHeight="1">
      <c r="F259" s="5"/>
    </row>
    <row r="260" ht="16.5" customHeight="1">
      <c r="F260" s="5"/>
    </row>
    <row r="261" ht="16.5" customHeight="1">
      <c r="F261" s="5"/>
    </row>
    <row r="262" ht="16.5" customHeight="1">
      <c r="F262" s="5"/>
    </row>
    <row r="263" ht="16.5" customHeight="1">
      <c r="F263" s="5"/>
    </row>
    <row r="264" ht="16.5" customHeight="1">
      <c r="F264" s="5"/>
    </row>
    <row r="265" ht="16.5" customHeight="1">
      <c r="F265" s="5"/>
    </row>
    <row r="266" ht="16.5" customHeight="1">
      <c r="F266" s="5"/>
    </row>
    <row r="267" ht="16.5" customHeight="1">
      <c r="F267" s="5"/>
    </row>
    <row r="268" ht="16.5" customHeight="1">
      <c r="F268" s="5"/>
    </row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95">
    <mergeCell ref="C27:C30"/>
    <mergeCell ref="C31:C34"/>
    <mergeCell ref="D31:D34"/>
    <mergeCell ref="E31:E34"/>
    <mergeCell ref="D35:D38"/>
    <mergeCell ref="E35:E38"/>
    <mergeCell ref="B9:B16"/>
    <mergeCell ref="B17:C17"/>
    <mergeCell ref="B18:B25"/>
    <mergeCell ref="C18:C21"/>
    <mergeCell ref="C22:C25"/>
    <mergeCell ref="B26:C26"/>
    <mergeCell ref="B27:B38"/>
    <mergeCell ref="D44:D47"/>
    <mergeCell ref="E44:E47"/>
    <mergeCell ref="C44:C47"/>
    <mergeCell ref="C49:C52"/>
    <mergeCell ref="D49:D52"/>
    <mergeCell ref="E49:E52"/>
    <mergeCell ref="C53:C56"/>
    <mergeCell ref="D53:D56"/>
    <mergeCell ref="D58:D61"/>
    <mergeCell ref="E58:E61"/>
    <mergeCell ref="D64:E64"/>
    <mergeCell ref="B49:B56"/>
    <mergeCell ref="B57:C57"/>
    <mergeCell ref="B58:B61"/>
    <mergeCell ref="C58:C61"/>
    <mergeCell ref="B62:C62"/>
    <mergeCell ref="B63:C64"/>
    <mergeCell ref="C35:C38"/>
    <mergeCell ref="B39:C39"/>
    <mergeCell ref="B40:B47"/>
    <mergeCell ref="C40:C43"/>
    <mergeCell ref="D40:D43"/>
    <mergeCell ref="E40:E43"/>
    <mergeCell ref="E53:E56"/>
    <mergeCell ref="U44:U48"/>
    <mergeCell ref="U49:U53"/>
    <mergeCell ref="AC49:AC53"/>
    <mergeCell ref="AC54:AC58"/>
    <mergeCell ref="AC59:AC63"/>
    <mergeCell ref="AC64:AC68"/>
    <mergeCell ref="V49:V53"/>
    <mergeCell ref="U54:U58"/>
    <mergeCell ref="V54:V58"/>
    <mergeCell ref="U59:U63"/>
    <mergeCell ref="V59:V63"/>
    <mergeCell ref="U64:U68"/>
    <mergeCell ref="V64:V68"/>
    <mergeCell ref="U29:U33"/>
    <mergeCell ref="V29:V33"/>
    <mergeCell ref="U34:U38"/>
    <mergeCell ref="V34:V38"/>
    <mergeCell ref="U39:U43"/>
    <mergeCell ref="V39:V43"/>
    <mergeCell ref="V44:V48"/>
    <mergeCell ref="U5:AN5"/>
    <mergeCell ref="U6:AN6"/>
    <mergeCell ref="B2:G2"/>
    <mergeCell ref="C4:E4"/>
    <mergeCell ref="J4:T4"/>
    <mergeCell ref="U4:AN4"/>
    <mergeCell ref="C5:E5"/>
    <mergeCell ref="J5:T5"/>
    <mergeCell ref="B6:G6"/>
    <mergeCell ref="C9:C12"/>
    <mergeCell ref="D9:D12"/>
    <mergeCell ref="E9:E12"/>
    <mergeCell ref="V9:V13"/>
    <mergeCell ref="AC9:AC13"/>
    <mergeCell ref="E13:E16"/>
    <mergeCell ref="AC14:AC18"/>
    <mergeCell ref="AC19:AC23"/>
    <mergeCell ref="AC24:AC28"/>
    <mergeCell ref="AC29:AC33"/>
    <mergeCell ref="AC34:AC38"/>
    <mergeCell ref="AC39:AC43"/>
    <mergeCell ref="AC44:AC48"/>
    <mergeCell ref="U9:U13"/>
    <mergeCell ref="U14:U18"/>
    <mergeCell ref="V14:V18"/>
    <mergeCell ref="U19:U23"/>
    <mergeCell ref="V19:V23"/>
    <mergeCell ref="U24:U28"/>
    <mergeCell ref="V24:V28"/>
    <mergeCell ref="D27:D30"/>
    <mergeCell ref="B48:C48"/>
    <mergeCell ref="C13:C16"/>
    <mergeCell ref="D13:D16"/>
    <mergeCell ref="D18:D21"/>
    <mergeCell ref="E18:E21"/>
    <mergeCell ref="D22:D25"/>
    <mergeCell ref="E22:E25"/>
    <mergeCell ref="E27:E30"/>
  </mergeCells>
  <conditionalFormatting sqref="AD9:AI68">
    <cfRule type="containsText" dxfId="1" priority="1" operator="containsText" text="☑">
      <formula>NOT(ISERROR(SEARCH(("☑"),(AD9))))</formula>
    </cfRule>
  </conditionalFormatting>
  <conditionalFormatting sqref="AL9:AL68">
    <cfRule type="containsText" dxfId="0" priority="2" operator="containsText" text="증빙 미입증">
      <formula>NOT(ISERROR(SEARCH(("증빙 미입증"),(AL9))))</formula>
    </cfRule>
  </conditionalFormatting>
  <dataValidations>
    <dataValidation type="decimal" allowBlank="1" showErrorMessage="1" sqref="D9 D13 D18 D22">
      <formula1>1.0</formula1>
      <formula2>4.0</formula2>
    </dataValidation>
    <dataValidation type="list" allowBlank="1" sqref="AD9:AI68">
      <formula1>"☐,☑"</formula1>
    </dataValidation>
    <dataValidation type="list" allowBlank="1" sqref="AN9:AN68">
      <formula1>"없음,경고,1점 상한,확정 차단"</formula1>
    </dataValidation>
    <dataValidation type="decimal" allowBlank="1" sqref="R9:R20">
      <formula1>1.0</formula1>
      <formula2>4.0</formula2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70AD47"/>
    <pageSetUpPr/>
  </sheetPr>
  <sheetViews>
    <sheetView showGridLines="0" workbookViewId="0">
      <pane xSplit="3.0" ySplit="5.0" topLeftCell="D6" activePane="bottomRight" state="frozen"/>
      <selection activeCell="D1" sqref="D1" pane="topRight"/>
      <selection activeCell="A6" sqref="A6" pane="bottomLeft"/>
      <selection activeCell="D6" sqref="D6" pane="bottomRight"/>
    </sheetView>
  </sheetViews>
  <sheetFormatPr customHeight="1" defaultColWidth="14.43" defaultRowHeight="15.0"/>
  <cols>
    <col customWidth="1" min="1" max="1" width="14.0"/>
    <col customWidth="1" min="2" max="2" width="9.0"/>
    <col customWidth="1" min="3" max="3" width="38.0"/>
    <col customWidth="1" min="4" max="4" width="10.0"/>
    <col customWidth="1" min="5" max="6" width="11.0"/>
    <col customWidth="1" min="7" max="7" width="12.0"/>
    <col customWidth="1" min="8" max="8" width="10.0"/>
    <col customWidth="1" min="9" max="9" width="12.0"/>
    <col customWidth="1" min="10" max="10" width="11.0"/>
    <col customWidth="1" min="11" max="11" width="10.0"/>
    <col customWidth="1" min="12" max="13" width="12.0"/>
    <col customWidth="1" min="14" max="14" width="10.0"/>
    <col customWidth="1" min="15" max="15" width="12.0"/>
    <col customWidth="1" min="16" max="16" width="10.0"/>
    <col customWidth="1" min="17" max="17" width="12.0"/>
    <col customWidth="1" min="18" max="18" width="22.0"/>
    <col customWidth="1" min="19" max="19" width="21.0"/>
    <col customWidth="1" min="20" max="26" width="8.71"/>
  </cols>
  <sheetData>
    <row r="1" ht="30.0" customHeight="1">
      <c r="A1" s="1" t="s">
        <v>0</v>
      </c>
    </row>
    <row r="2" ht="33.75" customHeight="1">
      <c r="A2" s="2" t="s">
        <v>1</v>
      </c>
    </row>
    <row r="3">
      <c r="A3" s="3" t="s">
        <v>2</v>
      </c>
      <c r="B3" s="3" t="s">
        <v>3</v>
      </c>
      <c r="C3" s="3" t="s">
        <v>4</v>
      </c>
      <c r="D3" s="3" t="s">
        <v>5</v>
      </c>
    </row>
    <row r="5">
      <c r="A5" s="4" t="s">
        <v>6</v>
      </c>
      <c r="B5" s="4" t="s">
        <v>7</v>
      </c>
      <c r="C5" s="4" t="s">
        <v>8</v>
      </c>
      <c r="D5" s="4" t="s">
        <v>9</v>
      </c>
      <c r="E5" s="4" t="s">
        <v>10</v>
      </c>
      <c r="F5" s="4" t="s">
        <v>11</v>
      </c>
      <c r="G5" s="4" t="s">
        <v>12</v>
      </c>
      <c r="H5" s="4" t="s">
        <v>14</v>
      </c>
      <c r="I5" s="4" t="s">
        <v>15</v>
      </c>
      <c r="J5" s="4" t="s">
        <v>16</v>
      </c>
      <c r="K5" s="4" t="s">
        <v>17</v>
      </c>
      <c r="L5" s="4" t="s">
        <v>18</v>
      </c>
      <c r="M5" s="4" t="s">
        <v>19</v>
      </c>
      <c r="N5" s="4" t="s">
        <v>20</v>
      </c>
      <c r="O5" s="4" t="s">
        <v>21</v>
      </c>
      <c r="P5" s="4" t="s">
        <v>22</v>
      </c>
      <c r="Q5" s="4" t="s">
        <v>23</v>
      </c>
      <c r="R5" s="4" t="s">
        <v>24</v>
      </c>
      <c r="S5" s="4" t="s">
        <v>25</v>
      </c>
    </row>
    <row r="6" ht="43.5" customHeight="1">
      <c r="A6" s="6" t="s">
        <v>26</v>
      </c>
      <c r="B6" s="6" t="s">
        <v>27</v>
      </c>
      <c r="C6" s="6" t="s">
        <v>28</v>
      </c>
      <c r="D6" s="16" t="str">
        <f>IF(SUMIFS('세부평가 입력'!$O$6:$O$60,'세부평가 입력'!$B$6:$B$60,$B6)=0,"",100*SUMIFS('세부평가 입력'!$N$6:$N$60,'세부평가 입력'!$B$6:$B$60,$B6)/SUMIFS('세부평가 입력'!$O$6:$O$60,'세부평가 입력'!$B$6:$B$60,$B6))</f>
        <v/>
      </c>
      <c r="E6" s="18">
        <f>IFERROR(SUMIFS('세부평가 입력'!$P$6:$P$60,'세부평가 입력'!$B$6:$B$60,$B6)/SUMIFS('세부평가 입력'!$E$6:$E$60,'세부평가 입력'!$B$6:$B$60,$B6),0)</f>
        <v>0</v>
      </c>
      <c r="F6" s="18" t="str">
        <f>IF(SUMIFS('세부평가 입력'!$O$6:$O$60,'세부평가 입력'!$B$6:$B$60,$B6)=0,"",SUMIFS('세부평가 입력'!$Q$6:$Q$60,'세부평가 입력'!$B$6:$B$60,$B6)/SUMIFS('세부평가 입력'!$O$6:$O$60,'세부평가 입력'!$B$6:$B$60,$B6))</f>
        <v/>
      </c>
      <c r="G6" s="16">
        <f t="shared" ref="G6:G16" si="1">IF(F6="",0,100*(0.55*E6+0.45*F6))</f>
        <v>0</v>
      </c>
      <c r="H6" s="16" t="str">
        <f>IF(D6="","",IF(D6&lt;'기준 설정'!$D$6,1,IF(D6&lt;'기준 설정'!$D$7,2,IF(D6&lt;'기준 설정'!$D$8,3,4))))</f>
        <v/>
      </c>
      <c r="I6" s="16">
        <f>IF(E6&lt;'기준 설정'!$D$14,0,IF(E6&lt;'기준 설정'!$D$15,3,4))</f>
        <v>0</v>
      </c>
      <c r="J6" s="16" t="str">
        <f>IF(COUNTIFS('세부평가 입력'!$B$6:$B$60,$B6,'세부평가 입력'!$T$6:$T$60,"Y")=0,"해당없음",IF(COUNTIFS('세부평가 입력'!$B$6:$B$60,$B6,'세부평가 입력'!$T$6:$T$60,"Y",'세부평가 입력'!$U$6:$U$60,"N")&gt;0,"미충족",IF(COUNTIFS('세부평가 입력'!$B$6:$B$60,$B6,'세부평가 입력'!$T$6:$T$60,"Y",'세부평가 입력'!$U$6:$U$60,"Y")=COUNTIFS('세부평가 입력'!$B$6:$B$60,$B6,'세부평가 입력'!$T$6:$T$60,"Y"),"충족","미판정")))</f>
        <v>미충족</v>
      </c>
      <c r="K6" s="16">
        <f t="shared" ref="K6:K16" si="2">IF(J6="충족",4,3)</f>
        <v>3</v>
      </c>
      <c r="L6" s="16" t="str">
        <f>IF(COUNTIFS('세부평가 입력'!$B$6:$B$60,$B6,'세부평가 입력'!$V$6:$V$60,"확정 차단")&gt;0,"확정 차단",IF(COUNTIFS('세부평가 입력'!$B$6:$B$60,$B6,'세부평가 입력'!$V$6:$V$60,"1점 상한")&gt;0,"1점 상한",IF(COUNTIFS('세부평가 입력'!$B$6:$B$60,$B6,'세부평가 입력'!$V$6:$V$60,"경고")&gt;0,"경고","없음")))</f>
        <v>없음</v>
      </c>
      <c r="M6" s="16">
        <f t="shared" ref="M6:M16" si="3">IF(L6="확정 차단",0,IF(L6="1점 상한",1,4))</f>
        <v>4</v>
      </c>
      <c r="N6" s="16" t="str">
        <f>IF(OR(E6&lt;'기준 설정'!$D$14,COUNTIFS('세부평가 입력'!$B$6:$B$60,$B6,'세부평가 입력'!$F$6:$F$60,"CONFLICTED")&gt;0,L6="확정 차단"),"",MIN(H6,I6,K6,M6))</f>
        <v/>
      </c>
      <c r="O6" s="39"/>
      <c r="P6" s="16" t="str">
        <f t="shared" ref="P6:P16" si="4">IF(ISNUMBER(O6),O6,N6)</f>
        <v/>
      </c>
      <c r="Q6" s="41" t="str">
        <f>IF(COUNTIFS('세부평가 입력'!$B$6:$B$60,$B6,'세부평가 입력'!$F$6:$F$60,"CONFLICTED")&gt;0,"근거충돌",IF(L6="확정 차단","확정차단",IF(E6&lt;'기준 설정'!$D$14,"자료보완",IF(G6&lt;'기준 설정'!$E$19,"검토필수",IF(ISNUMBER(O6),"수동확정","추천완료")))))</f>
        <v>자료보완</v>
      </c>
      <c r="R6" s="41" t="str">
        <f>"ND "&amp;COUNTIFS('세부평가 입력'!$B$6:$B$60,$B6,'세부평가 입력'!$F$6:$F$60,"ND")&amp;"개 / 미입력 "&amp;COUNTIFS('세부평가 입력'!$B$6:$B$60,$B6,'세부평가 입력'!$F$6:$F$60,"")&amp;"개"</f>
        <v>ND 5개 / 미입력 0개</v>
      </c>
      <c r="S6" s="41" t="s">
        <v>104</v>
      </c>
    </row>
    <row r="7" ht="43.5" customHeight="1">
      <c r="A7" s="6" t="s">
        <v>26</v>
      </c>
      <c r="B7" s="6" t="s">
        <v>105</v>
      </c>
      <c r="C7" s="6" t="s">
        <v>106</v>
      </c>
      <c r="D7" s="16" t="str">
        <f>IF(SUMIFS('세부평가 입력'!$O$6:$O$60,'세부평가 입력'!$B$6:$B$60,$B7)=0,"",100*SUMIFS('세부평가 입력'!$N$6:$N$60,'세부평가 입력'!$B$6:$B$60,$B7)/SUMIFS('세부평가 입력'!$O$6:$O$60,'세부평가 입력'!$B$6:$B$60,$B7))</f>
        <v/>
      </c>
      <c r="E7" s="18">
        <f>IFERROR(SUMIFS('세부평가 입력'!$P$6:$P$60,'세부평가 입력'!$B$6:$B$60,$B7)/SUMIFS('세부평가 입력'!$E$6:$E$60,'세부평가 입력'!$B$6:$B$60,$B7),0)</f>
        <v>0</v>
      </c>
      <c r="F7" s="18" t="str">
        <f>IF(SUMIFS('세부평가 입력'!$O$6:$O$60,'세부평가 입력'!$B$6:$B$60,$B7)=0,"",SUMIFS('세부평가 입력'!$Q$6:$Q$60,'세부평가 입력'!$B$6:$B$60,$B7)/SUMIFS('세부평가 입력'!$O$6:$O$60,'세부평가 입력'!$B$6:$B$60,$B7))</f>
        <v/>
      </c>
      <c r="G7" s="16">
        <f t="shared" si="1"/>
        <v>0</v>
      </c>
      <c r="H7" s="16" t="str">
        <f>IF(D7="","",IF(D7&lt;'기준 설정'!$D$6,1,IF(D7&lt;'기준 설정'!$D$7,2,IF(D7&lt;'기준 설정'!$D$8,3,4))))</f>
        <v/>
      </c>
      <c r="I7" s="16">
        <f>IF(E7&lt;'기준 설정'!$D$14,0,IF(E7&lt;'기준 설정'!$D$15,3,4))</f>
        <v>0</v>
      </c>
      <c r="J7" s="16" t="str">
        <f>IF(COUNTIFS('세부평가 입력'!$B$6:$B$60,$B7,'세부평가 입력'!$T$6:$T$60,"Y")=0,"해당없음",IF(COUNTIFS('세부평가 입력'!$B$6:$B$60,$B7,'세부평가 입력'!$T$6:$T$60,"Y",'세부평가 입력'!$U$6:$U$60,"N")&gt;0,"미충족",IF(COUNTIFS('세부평가 입력'!$B$6:$B$60,$B7,'세부평가 입력'!$T$6:$T$60,"Y",'세부평가 입력'!$U$6:$U$60,"Y")=COUNTIFS('세부평가 입력'!$B$6:$B$60,$B7,'세부평가 입력'!$T$6:$T$60,"Y"),"충족","미판정")))</f>
        <v>미충족</v>
      </c>
      <c r="K7" s="16">
        <f t="shared" si="2"/>
        <v>3</v>
      </c>
      <c r="L7" s="16" t="str">
        <f>IF(COUNTIFS('세부평가 입력'!$B$6:$B$60,$B7,'세부평가 입력'!$V$6:$V$60,"확정 차단")&gt;0,"확정 차단",IF(COUNTIFS('세부평가 입력'!$B$6:$B$60,$B7,'세부평가 입력'!$V$6:$V$60,"1점 상한")&gt;0,"1점 상한",IF(COUNTIFS('세부평가 입력'!$B$6:$B$60,$B7,'세부평가 입력'!$V$6:$V$60,"경고")&gt;0,"경고","없음")))</f>
        <v>없음</v>
      </c>
      <c r="M7" s="16">
        <f t="shared" si="3"/>
        <v>4</v>
      </c>
      <c r="N7" s="16" t="str">
        <f>IF(OR(E7&lt;'기준 설정'!$D$14,COUNTIFS('세부평가 입력'!$B$6:$B$60,$B7,'세부평가 입력'!$F$6:$F$60,"CONFLICTED")&gt;0,L7="확정 차단"),"",MIN(H7,I7,K7,M7))</f>
        <v/>
      </c>
      <c r="O7" s="39"/>
      <c r="P7" s="16" t="str">
        <f t="shared" si="4"/>
        <v/>
      </c>
      <c r="Q7" s="41" t="str">
        <f>IF(COUNTIFS('세부평가 입력'!$B$6:$B$60,$B7,'세부평가 입력'!$F$6:$F$60,"CONFLICTED")&gt;0,"근거충돌",IF(L7="확정 차단","확정차단",IF(E7&lt;'기준 설정'!$D$14,"자료보완",IF(G7&lt;'기준 설정'!$E$19,"검토필수",IF(ISNUMBER(O7),"수동확정","추천완료")))))</f>
        <v>자료보완</v>
      </c>
      <c r="R7" s="41" t="str">
        <f>"ND "&amp;COUNTIFS('세부평가 입력'!$B$6:$B$60,$B7,'세부평가 입력'!$F$6:$F$60,"ND")&amp;"개 / 미입력 "&amp;COUNTIFS('세부평가 입력'!$B$6:$B$60,$B7,'세부평가 입력'!$F$6:$F$60,"")&amp;"개"</f>
        <v>ND 5개 / 미입력 0개</v>
      </c>
      <c r="S7" s="41" t="s">
        <v>127</v>
      </c>
    </row>
    <row r="8" ht="43.5" customHeight="1">
      <c r="A8" s="6" t="s">
        <v>128</v>
      </c>
      <c r="B8" s="6" t="s">
        <v>122</v>
      </c>
      <c r="C8" s="6" t="s">
        <v>123</v>
      </c>
      <c r="D8" s="16" t="str">
        <f>IF(SUMIFS('세부평가 입력'!$O$6:$O$60,'세부평가 입력'!$B$6:$B$60,$B8)=0,"",100*SUMIFS('세부평가 입력'!$N$6:$N$60,'세부평가 입력'!$B$6:$B$60,$B8)/SUMIFS('세부평가 입력'!$O$6:$O$60,'세부평가 입력'!$B$6:$B$60,$B8))</f>
        <v/>
      </c>
      <c r="E8" s="18">
        <f>IFERROR(SUMIFS('세부평가 입력'!$P$6:$P$60,'세부평가 입력'!$B$6:$B$60,$B8)/SUMIFS('세부평가 입력'!$E$6:$E$60,'세부평가 입력'!$B$6:$B$60,$B8),0)</f>
        <v>0</v>
      </c>
      <c r="F8" s="18" t="str">
        <f>IF(SUMIFS('세부평가 입력'!$O$6:$O$60,'세부평가 입력'!$B$6:$B$60,$B8)=0,"",SUMIFS('세부평가 입력'!$Q$6:$Q$60,'세부평가 입력'!$B$6:$B$60,$B8)/SUMIFS('세부평가 입력'!$O$6:$O$60,'세부평가 입력'!$B$6:$B$60,$B8))</f>
        <v/>
      </c>
      <c r="G8" s="16">
        <f t="shared" si="1"/>
        <v>0</v>
      </c>
      <c r="H8" s="16" t="str">
        <f>IF(D8="","",IF(D8&lt;'기준 설정'!$D$6,1,IF(D8&lt;'기준 설정'!$D$7,2,IF(D8&lt;'기준 설정'!$D$8,3,4))))</f>
        <v/>
      </c>
      <c r="I8" s="16">
        <f>IF(E8&lt;'기준 설정'!$D$14,0,IF(E8&lt;'기준 설정'!$D$15,3,4))</f>
        <v>0</v>
      </c>
      <c r="J8" s="16" t="str">
        <f>IF(COUNTIFS('세부평가 입력'!$B$6:$B$60,$B8,'세부평가 입력'!$T$6:$T$60,"Y")=0,"해당없음",IF(COUNTIFS('세부평가 입력'!$B$6:$B$60,$B8,'세부평가 입력'!$T$6:$T$60,"Y",'세부평가 입력'!$U$6:$U$60,"N")&gt;0,"미충족",IF(COUNTIFS('세부평가 입력'!$B$6:$B$60,$B8,'세부평가 입력'!$T$6:$T$60,"Y",'세부평가 입력'!$U$6:$U$60,"Y")=COUNTIFS('세부평가 입력'!$B$6:$B$60,$B8,'세부평가 입력'!$T$6:$T$60,"Y"),"충족","미판정")))</f>
        <v>미충족</v>
      </c>
      <c r="K8" s="16">
        <f t="shared" si="2"/>
        <v>3</v>
      </c>
      <c r="L8" s="16" t="str">
        <f>IF(COUNTIFS('세부평가 입력'!$B$6:$B$60,$B8,'세부평가 입력'!$V$6:$V$60,"확정 차단")&gt;0,"확정 차단",IF(COUNTIFS('세부평가 입력'!$B$6:$B$60,$B8,'세부평가 입력'!$V$6:$V$60,"1점 상한")&gt;0,"1점 상한",IF(COUNTIFS('세부평가 입력'!$B$6:$B$60,$B8,'세부평가 입력'!$V$6:$V$60,"경고")&gt;0,"경고","없음")))</f>
        <v>없음</v>
      </c>
      <c r="M8" s="16">
        <f t="shared" si="3"/>
        <v>4</v>
      </c>
      <c r="N8" s="16" t="str">
        <f>IF(OR(E8&lt;'기준 설정'!$D$14,COUNTIFS('세부평가 입력'!$B$6:$B$60,$B8,'세부평가 입력'!$F$6:$F$60,"CONFLICTED")&gt;0,L8="확정 차단"),"",MIN(H8,I8,K8,M8))</f>
        <v/>
      </c>
      <c r="O8" s="39"/>
      <c r="P8" s="16" t="str">
        <f t="shared" si="4"/>
        <v/>
      </c>
      <c r="Q8" s="41" t="str">
        <f>IF(COUNTIFS('세부평가 입력'!$B$6:$B$60,$B8,'세부평가 입력'!$F$6:$F$60,"CONFLICTED")&gt;0,"근거충돌",IF(L8="확정 차단","확정차단",IF(E8&lt;'기준 설정'!$D$14,"자료보완",IF(G8&lt;'기준 설정'!$E$19,"검토필수",IF(ISNUMBER(O8),"수동확정","추천완료")))))</f>
        <v>자료보완</v>
      </c>
      <c r="R8" s="41" t="str">
        <f>"ND "&amp;COUNTIFS('세부평가 입력'!$B$6:$B$60,$B8,'세부평가 입력'!$F$6:$F$60,"ND")&amp;"개 / 미입력 "&amp;COUNTIFS('세부평가 입력'!$B$6:$B$60,$B8,'세부평가 입력'!$F$6:$F$60,"")&amp;"개"</f>
        <v>ND 5개 / 미입력 0개</v>
      </c>
      <c r="S8" s="41" t="s">
        <v>150</v>
      </c>
    </row>
    <row r="9" ht="43.5" customHeight="1">
      <c r="A9" s="6" t="s">
        <v>128</v>
      </c>
      <c r="B9" s="6" t="s">
        <v>134</v>
      </c>
      <c r="C9" s="6" t="s">
        <v>135</v>
      </c>
      <c r="D9" s="16" t="str">
        <f>IF(SUMIFS('세부평가 입력'!$O$6:$O$60,'세부평가 입력'!$B$6:$B$60,$B9)=0,"",100*SUMIFS('세부평가 입력'!$N$6:$N$60,'세부평가 입력'!$B$6:$B$60,$B9)/SUMIFS('세부평가 입력'!$O$6:$O$60,'세부평가 입력'!$B$6:$B$60,$B9))</f>
        <v/>
      </c>
      <c r="E9" s="18">
        <f>IFERROR(SUMIFS('세부평가 입력'!$P$6:$P$60,'세부평가 입력'!$B$6:$B$60,$B9)/SUMIFS('세부평가 입력'!$E$6:$E$60,'세부평가 입력'!$B$6:$B$60,$B9),0)</f>
        <v>0</v>
      </c>
      <c r="F9" s="18" t="str">
        <f>IF(SUMIFS('세부평가 입력'!$O$6:$O$60,'세부평가 입력'!$B$6:$B$60,$B9)=0,"",SUMIFS('세부평가 입력'!$Q$6:$Q$60,'세부평가 입력'!$B$6:$B$60,$B9)/SUMIFS('세부평가 입력'!$O$6:$O$60,'세부평가 입력'!$B$6:$B$60,$B9))</f>
        <v/>
      </c>
      <c r="G9" s="16">
        <f t="shared" si="1"/>
        <v>0</v>
      </c>
      <c r="H9" s="16" t="str">
        <f>IF(D9="","",IF(D9&lt;'기준 설정'!$D$6,1,IF(D9&lt;'기준 설정'!$D$7,2,IF(D9&lt;'기준 설정'!$D$8,3,4))))</f>
        <v/>
      </c>
      <c r="I9" s="16">
        <f>IF(E9&lt;'기준 설정'!$D$14,0,IF(E9&lt;'기준 설정'!$D$15,3,4))</f>
        <v>0</v>
      </c>
      <c r="J9" s="16" t="str">
        <f>IF(COUNTIFS('세부평가 입력'!$B$6:$B$60,$B9,'세부평가 입력'!$T$6:$T$60,"Y")=0,"해당없음",IF(COUNTIFS('세부평가 입력'!$B$6:$B$60,$B9,'세부평가 입력'!$T$6:$T$60,"Y",'세부평가 입력'!$U$6:$U$60,"N")&gt;0,"미충족",IF(COUNTIFS('세부평가 입력'!$B$6:$B$60,$B9,'세부평가 입력'!$T$6:$T$60,"Y",'세부평가 입력'!$U$6:$U$60,"Y")=COUNTIFS('세부평가 입력'!$B$6:$B$60,$B9,'세부평가 입력'!$T$6:$T$60,"Y"),"충족","미판정")))</f>
        <v>미충족</v>
      </c>
      <c r="K9" s="16">
        <f t="shared" si="2"/>
        <v>3</v>
      </c>
      <c r="L9" s="16" t="str">
        <f>IF(COUNTIFS('세부평가 입력'!$B$6:$B$60,$B9,'세부평가 입력'!$V$6:$V$60,"확정 차단")&gt;0,"확정 차단",IF(COUNTIFS('세부평가 입력'!$B$6:$B$60,$B9,'세부평가 입력'!$V$6:$V$60,"1점 상한")&gt;0,"1점 상한",IF(COUNTIFS('세부평가 입력'!$B$6:$B$60,$B9,'세부평가 입력'!$V$6:$V$60,"경고")&gt;0,"경고","없음")))</f>
        <v>없음</v>
      </c>
      <c r="M9" s="16">
        <f t="shared" si="3"/>
        <v>4</v>
      </c>
      <c r="N9" s="16" t="str">
        <f>IF(OR(E9&lt;'기준 설정'!$D$14,COUNTIFS('세부평가 입력'!$B$6:$B$60,$B9,'세부평가 입력'!$F$6:$F$60,"CONFLICTED")&gt;0,L9="확정 차단"),"",MIN(H9,I9,K9,M9))</f>
        <v/>
      </c>
      <c r="O9" s="39"/>
      <c r="P9" s="16" t="str">
        <f t="shared" si="4"/>
        <v/>
      </c>
      <c r="Q9" s="41" t="str">
        <f>IF(COUNTIFS('세부평가 입력'!$B$6:$B$60,$B9,'세부평가 입력'!$F$6:$F$60,"CONFLICTED")&gt;0,"근거충돌",IF(L9="확정 차단","확정차단",IF(E9&lt;'기준 설정'!$D$14,"자료보완",IF(G9&lt;'기준 설정'!$E$19,"검토필수",IF(ISNUMBER(O9),"수동확정","추천완료")))))</f>
        <v>자료보완</v>
      </c>
      <c r="R9" s="41" t="str">
        <f>"ND "&amp;COUNTIFS('세부평가 입력'!$B$6:$B$60,$B9,'세부평가 입력'!$F$6:$F$60,"ND")&amp;"개 / 미입력 "&amp;COUNTIFS('세부평가 입력'!$B$6:$B$60,$B9,'세부평가 입력'!$F$6:$F$60,"")&amp;"개"</f>
        <v>ND 5개 / 미입력 0개</v>
      </c>
      <c r="S9" s="41" t="s">
        <v>170</v>
      </c>
    </row>
    <row r="10" ht="43.5" customHeight="1">
      <c r="A10" s="6" t="s">
        <v>171</v>
      </c>
      <c r="B10" s="6" t="s">
        <v>146</v>
      </c>
      <c r="C10" s="6" t="s">
        <v>147</v>
      </c>
      <c r="D10" s="16" t="str">
        <f>IF(SUMIFS('세부평가 입력'!$O$6:$O$60,'세부평가 입력'!$B$6:$B$60,$B10)=0,"",100*SUMIFS('세부평가 입력'!$N$6:$N$60,'세부평가 입력'!$B$6:$B$60,$B10)/SUMIFS('세부평가 입력'!$O$6:$O$60,'세부평가 입력'!$B$6:$B$60,$B10))</f>
        <v/>
      </c>
      <c r="E10" s="18">
        <f>IFERROR(SUMIFS('세부평가 입력'!$P$6:$P$60,'세부평가 입력'!$B$6:$B$60,$B10)/SUMIFS('세부평가 입력'!$E$6:$E$60,'세부평가 입력'!$B$6:$B$60,$B10),0)</f>
        <v>0</v>
      </c>
      <c r="F10" s="18" t="str">
        <f>IF(SUMIFS('세부평가 입력'!$O$6:$O$60,'세부평가 입력'!$B$6:$B$60,$B10)=0,"",SUMIFS('세부평가 입력'!$Q$6:$Q$60,'세부평가 입력'!$B$6:$B$60,$B10)/SUMIFS('세부평가 입력'!$O$6:$O$60,'세부평가 입력'!$B$6:$B$60,$B10))</f>
        <v/>
      </c>
      <c r="G10" s="16">
        <f t="shared" si="1"/>
        <v>0</v>
      </c>
      <c r="H10" s="16" t="str">
        <f>IF(D10="","",IF(D10&lt;'기준 설정'!$D$6,1,IF(D10&lt;'기준 설정'!$D$7,2,IF(D10&lt;'기준 설정'!$D$8,3,4))))</f>
        <v/>
      </c>
      <c r="I10" s="16">
        <f>IF(E10&lt;'기준 설정'!$D$14,0,IF(E10&lt;'기준 설정'!$D$15,3,4))</f>
        <v>0</v>
      </c>
      <c r="J10" s="16" t="str">
        <f>IF(COUNTIFS('세부평가 입력'!$B$6:$B$60,$B10,'세부평가 입력'!$T$6:$T$60,"Y")=0,"해당없음",IF(COUNTIFS('세부평가 입력'!$B$6:$B$60,$B10,'세부평가 입력'!$T$6:$T$60,"Y",'세부평가 입력'!$U$6:$U$60,"N")&gt;0,"미충족",IF(COUNTIFS('세부평가 입력'!$B$6:$B$60,$B10,'세부평가 입력'!$T$6:$T$60,"Y",'세부평가 입력'!$U$6:$U$60,"Y")=COUNTIFS('세부평가 입력'!$B$6:$B$60,$B10,'세부평가 입력'!$T$6:$T$60,"Y"),"충족","미판정")))</f>
        <v>미충족</v>
      </c>
      <c r="K10" s="16">
        <f t="shared" si="2"/>
        <v>3</v>
      </c>
      <c r="L10" s="16" t="str">
        <f>IF(COUNTIFS('세부평가 입력'!$B$6:$B$60,$B10,'세부평가 입력'!$V$6:$V$60,"확정 차단")&gt;0,"확정 차단",IF(COUNTIFS('세부평가 입력'!$B$6:$B$60,$B10,'세부평가 입력'!$V$6:$V$60,"1점 상한")&gt;0,"1점 상한",IF(COUNTIFS('세부평가 입력'!$B$6:$B$60,$B10,'세부평가 입력'!$V$6:$V$60,"경고")&gt;0,"경고","없음")))</f>
        <v>없음</v>
      </c>
      <c r="M10" s="16">
        <f t="shared" si="3"/>
        <v>4</v>
      </c>
      <c r="N10" s="16" t="str">
        <f>IF(OR(E10&lt;'기준 설정'!$D$14,COUNTIFS('세부평가 입력'!$B$6:$B$60,$B10,'세부평가 입력'!$F$6:$F$60,"CONFLICTED")&gt;0,L10="확정 차단"),"",MIN(H10,I10,K10,M10))</f>
        <v/>
      </c>
      <c r="O10" s="39"/>
      <c r="P10" s="16" t="str">
        <f t="shared" si="4"/>
        <v/>
      </c>
      <c r="Q10" s="41" t="str">
        <f>IF(COUNTIFS('세부평가 입력'!$B$6:$B$60,$B10,'세부평가 입력'!$F$6:$F$60,"CONFLICTED")&gt;0,"근거충돌",IF(L10="확정 차단","확정차단",IF(E10&lt;'기준 설정'!$D$14,"자료보완",IF(G10&lt;'기준 설정'!$E$19,"검토필수",IF(ISNUMBER(O10),"수동확정","추천완료")))))</f>
        <v>자료보완</v>
      </c>
      <c r="R10" s="41" t="str">
        <f>"ND "&amp;COUNTIFS('세부평가 입력'!$B$6:$B$60,$B10,'세부평가 입력'!$F$6:$F$60,"ND")&amp;"개 / 미입력 "&amp;COUNTIFS('세부평가 입력'!$B$6:$B$60,$B10,'세부평가 입력'!$F$6:$F$60,"")&amp;"개"</f>
        <v>ND 5개 / 미입력 0개</v>
      </c>
      <c r="S10" s="41" t="s">
        <v>188</v>
      </c>
    </row>
    <row r="11" ht="43.5" customHeight="1">
      <c r="A11" s="6" t="s">
        <v>171</v>
      </c>
      <c r="B11" s="6" t="s">
        <v>158</v>
      </c>
      <c r="C11" s="6" t="s">
        <v>159</v>
      </c>
      <c r="D11" s="16" t="str">
        <f>IF(SUMIFS('세부평가 입력'!$O$6:$O$60,'세부평가 입력'!$B$6:$B$60,$B11)=0,"",100*SUMIFS('세부평가 입력'!$N$6:$N$60,'세부평가 입력'!$B$6:$B$60,$B11)/SUMIFS('세부평가 입력'!$O$6:$O$60,'세부평가 입력'!$B$6:$B$60,$B11))</f>
        <v/>
      </c>
      <c r="E11" s="18">
        <f>IFERROR(SUMIFS('세부평가 입력'!$P$6:$P$60,'세부평가 입력'!$B$6:$B$60,$B11)/SUMIFS('세부평가 입력'!$E$6:$E$60,'세부평가 입력'!$B$6:$B$60,$B11),0)</f>
        <v>0</v>
      </c>
      <c r="F11" s="18" t="str">
        <f>IF(SUMIFS('세부평가 입력'!$O$6:$O$60,'세부평가 입력'!$B$6:$B$60,$B11)=0,"",SUMIFS('세부평가 입력'!$Q$6:$Q$60,'세부평가 입력'!$B$6:$B$60,$B11)/SUMIFS('세부평가 입력'!$O$6:$O$60,'세부평가 입력'!$B$6:$B$60,$B11))</f>
        <v/>
      </c>
      <c r="G11" s="16">
        <f t="shared" si="1"/>
        <v>0</v>
      </c>
      <c r="H11" s="16" t="str">
        <f>IF(D11="","",IF(D11&lt;'기준 설정'!$D$6,1,IF(D11&lt;'기준 설정'!$D$7,2,IF(D11&lt;'기준 설정'!$D$8,3,4))))</f>
        <v/>
      </c>
      <c r="I11" s="16">
        <f>IF(E11&lt;'기준 설정'!$D$14,0,IF(E11&lt;'기준 설정'!$D$15,3,4))</f>
        <v>0</v>
      </c>
      <c r="J11" s="16" t="str">
        <f>IF(COUNTIFS('세부평가 입력'!$B$6:$B$60,$B11,'세부평가 입력'!$T$6:$T$60,"Y")=0,"해당없음",IF(COUNTIFS('세부평가 입력'!$B$6:$B$60,$B11,'세부평가 입력'!$T$6:$T$60,"Y",'세부평가 입력'!$U$6:$U$60,"N")&gt;0,"미충족",IF(COUNTIFS('세부평가 입력'!$B$6:$B$60,$B11,'세부평가 입력'!$T$6:$T$60,"Y",'세부평가 입력'!$U$6:$U$60,"Y")=COUNTIFS('세부평가 입력'!$B$6:$B$60,$B11,'세부평가 입력'!$T$6:$T$60,"Y"),"충족","미판정")))</f>
        <v>미충족</v>
      </c>
      <c r="K11" s="16">
        <f t="shared" si="2"/>
        <v>3</v>
      </c>
      <c r="L11" s="16" t="str">
        <f>IF(COUNTIFS('세부평가 입력'!$B$6:$B$60,$B11,'세부평가 입력'!$V$6:$V$60,"확정 차단")&gt;0,"확정 차단",IF(COUNTIFS('세부평가 입력'!$B$6:$B$60,$B11,'세부평가 입력'!$V$6:$V$60,"1점 상한")&gt;0,"1점 상한",IF(COUNTIFS('세부평가 입력'!$B$6:$B$60,$B11,'세부평가 입력'!$V$6:$V$60,"경고")&gt;0,"경고","없음")))</f>
        <v>없음</v>
      </c>
      <c r="M11" s="16">
        <f t="shared" si="3"/>
        <v>4</v>
      </c>
      <c r="N11" s="16" t="str">
        <f>IF(OR(E11&lt;'기준 설정'!$D$14,COUNTIFS('세부평가 입력'!$B$6:$B$60,$B11,'세부평가 입력'!$F$6:$F$60,"CONFLICTED")&gt;0,L11="확정 차단"),"",MIN(H11,I11,K11,M11))</f>
        <v/>
      </c>
      <c r="O11" s="39"/>
      <c r="P11" s="16" t="str">
        <f t="shared" si="4"/>
        <v/>
      </c>
      <c r="Q11" s="41" t="str">
        <f>IF(COUNTIFS('세부평가 입력'!$B$6:$B$60,$B11,'세부평가 입력'!$F$6:$F$60,"CONFLICTED")&gt;0,"근거충돌",IF(L11="확정 차단","확정차단",IF(E11&lt;'기준 설정'!$D$14,"자료보완",IF(G11&lt;'기준 설정'!$E$19,"검토필수",IF(ISNUMBER(O11),"수동확정","추천완료")))))</f>
        <v>자료보완</v>
      </c>
      <c r="R11" s="41" t="str">
        <f>"ND "&amp;COUNTIFS('세부평가 입력'!$B$6:$B$60,$B11,'세부평가 입력'!$F$6:$F$60,"ND")&amp;"개 / 미입력 "&amp;COUNTIFS('세부평가 입력'!$B$6:$B$60,$B11,'세부평가 입력'!$F$6:$F$60,"")&amp;"개"</f>
        <v>ND 5개 / 미입력 0개</v>
      </c>
      <c r="S11" s="41" t="s">
        <v>206</v>
      </c>
    </row>
    <row r="12" ht="43.5" customHeight="1">
      <c r="A12" s="6" t="s">
        <v>171</v>
      </c>
      <c r="B12" s="6" t="s">
        <v>165</v>
      </c>
      <c r="C12" s="6" t="s">
        <v>166</v>
      </c>
      <c r="D12" s="16" t="str">
        <f>IF(SUMIFS('세부평가 입력'!$O$6:$O$60,'세부평가 입력'!$B$6:$B$60,$B12)=0,"",100*SUMIFS('세부평가 입력'!$N$6:$N$60,'세부평가 입력'!$B$6:$B$60,$B12)/SUMIFS('세부평가 입력'!$O$6:$O$60,'세부평가 입력'!$B$6:$B$60,$B12))</f>
        <v/>
      </c>
      <c r="E12" s="18">
        <f>IFERROR(SUMIFS('세부평가 입력'!$P$6:$P$60,'세부평가 입력'!$B$6:$B$60,$B12)/SUMIFS('세부평가 입력'!$E$6:$E$60,'세부평가 입력'!$B$6:$B$60,$B12),0)</f>
        <v>0</v>
      </c>
      <c r="F12" s="18" t="str">
        <f>IF(SUMIFS('세부평가 입력'!$O$6:$O$60,'세부평가 입력'!$B$6:$B$60,$B12)=0,"",SUMIFS('세부평가 입력'!$Q$6:$Q$60,'세부평가 입력'!$B$6:$B$60,$B12)/SUMIFS('세부평가 입력'!$O$6:$O$60,'세부평가 입력'!$B$6:$B$60,$B12))</f>
        <v/>
      </c>
      <c r="G12" s="16">
        <f t="shared" si="1"/>
        <v>0</v>
      </c>
      <c r="H12" s="16" t="str">
        <f>IF(D12="","",IF(D12&lt;'기준 설정'!$D$6,1,IF(D12&lt;'기준 설정'!$D$7,2,IF(D12&lt;'기준 설정'!$D$8,3,4))))</f>
        <v/>
      </c>
      <c r="I12" s="16">
        <f>IF(E12&lt;'기준 설정'!$D$14,0,IF(E12&lt;'기준 설정'!$D$15,3,4))</f>
        <v>0</v>
      </c>
      <c r="J12" s="16" t="str">
        <f>IF(COUNTIFS('세부평가 입력'!$B$6:$B$60,$B12,'세부평가 입력'!$T$6:$T$60,"Y")=0,"해당없음",IF(COUNTIFS('세부평가 입력'!$B$6:$B$60,$B12,'세부평가 입력'!$T$6:$T$60,"Y",'세부평가 입력'!$U$6:$U$60,"N")&gt;0,"미충족",IF(COUNTIFS('세부평가 입력'!$B$6:$B$60,$B12,'세부평가 입력'!$T$6:$T$60,"Y",'세부평가 입력'!$U$6:$U$60,"Y")=COUNTIFS('세부평가 입력'!$B$6:$B$60,$B12,'세부평가 입력'!$T$6:$T$60,"Y"),"충족","미판정")))</f>
        <v>미충족</v>
      </c>
      <c r="K12" s="16">
        <f t="shared" si="2"/>
        <v>3</v>
      </c>
      <c r="L12" s="16" t="str">
        <f>IF(COUNTIFS('세부평가 입력'!$B$6:$B$60,$B12,'세부평가 입력'!$V$6:$V$60,"확정 차단")&gt;0,"확정 차단",IF(COUNTIFS('세부평가 입력'!$B$6:$B$60,$B12,'세부평가 입력'!$V$6:$V$60,"1점 상한")&gt;0,"1점 상한",IF(COUNTIFS('세부평가 입력'!$B$6:$B$60,$B12,'세부평가 입력'!$V$6:$V$60,"경고")&gt;0,"경고","없음")))</f>
        <v>없음</v>
      </c>
      <c r="M12" s="16">
        <f t="shared" si="3"/>
        <v>4</v>
      </c>
      <c r="N12" s="16" t="str">
        <f>IF(OR(E12&lt;'기준 설정'!$D$14,COUNTIFS('세부평가 입력'!$B$6:$B$60,$B12,'세부평가 입력'!$F$6:$F$60,"CONFLICTED")&gt;0,L12="확정 차단"),"",MIN(H12,I12,K12,M12))</f>
        <v/>
      </c>
      <c r="O12" s="39"/>
      <c r="P12" s="16" t="str">
        <f t="shared" si="4"/>
        <v/>
      </c>
      <c r="Q12" s="41" t="str">
        <f>IF(COUNTIFS('세부평가 입력'!$B$6:$B$60,$B12,'세부평가 입력'!$F$6:$F$60,"CONFLICTED")&gt;0,"근거충돌",IF(L12="확정 차단","확정차단",IF(E12&lt;'기준 설정'!$D$14,"자료보완",IF(G12&lt;'기준 설정'!$E$19,"검토필수",IF(ISNUMBER(O12),"수동확정","추천완료")))))</f>
        <v>자료보완</v>
      </c>
      <c r="R12" s="41" t="str">
        <f>"ND "&amp;COUNTIFS('세부평가 입력'!$B$6:$B$60,$B12,'세부평가 입력'!$F$6:$F$60,"ND")&amp;"개 / 미입력 "&amp;COUNTIFS('세부평가 입력'!$B$6:$B$60,$B12,'세부평가 입력'!$F$6:$F$60,"")&amp;"개"</f>
        <v>ND 5개 / 미입력 0개</v>
      </c>
      <c r="S12" s="41" t="s">
        <v>232</v>
      </c>
    </row>
    <row r="13" ht="43.5" customHeight="1">
      <c r="A13" s="6" t="s">
        <v>233</v>
      </c>
      <c r="B13" s="6" t="s">
        <v>175</v>
      </c>
      <c r="C13" s="6" t="s">
        <v>176</v>
      </c>
      <c r="D13" s="16" t="str">
        <f>IF(SUMIFS('세부평가 입력'!$O$6:$O$60,'세부평가 입력'!$B$6:$B$60,$B13)=0,"",100*SUMIFS('세부평가 입력'!$N$6:$N$60,'세부평가 입력'!$B$6:$B$60,$B13)/SUMIFS('세부평가 입력'!$O$6:$O$60,'세부평가 입력'!$B$6:$B$60,$B13))</f>
        <v/>
      </c>
      <c r="E13" s="18">
        <f>IFERROR(SUMIFS('세부평가 입력'!$P$6:$P$60,'세부평가 입력'!$B$6:$B$60,$B13)/SUMIFS('세부평가 입력'!$E$6:$E$60,'세부평가 입력'!$B$6:$B$60,$B13),0)</f>
        <v>0</v>
      </c>
      <c r="F13" s="18" t="str">
        <f>IF(SUMIFS('세부평가 입력'!$O$6:$O$60,'세부평가 입력'!$B$6:$B$60,$B13)=0,"",SUMIFS('세부평가 입력'!$Q$6:$Q$60,'세부평가 입력'!$B$6:$B$60,$B13)/SUMIFS('세부평가 입력'!$O$6:$O$60,'세부평가 입력'!$B$6:$B$60,$B13))</f>
        <v/>
      </c>
      <c r="G13" s="16">
        <f t="shared" si="1"/>
        <v>0</v>
      </c>
      <c r="H13" s="16" t="str">
        <f>IF(D13="","",IF(D13&lt;'기준 설정'!$D$6,1,IF(D13&lt;'기준 설정'!$D$7,2,IF(D13&lt;'기준 설정'!$D$8,3,4))))</f>
        <v/>
      </c>
      <c r="I13" s="16">
        <f>IF(E13&lt;'기준 설정'!$D$14,0,IF(E13&lt;'기준 설정'!$D$15,3,4))</f>
        <v>0</v>
      </c>
      <c r="J13" s="16" t="str">
        <f>IF(COUNTIFS('세부평가 입력'!$B$6:$B$60,$B13,'세부평가 입력'!$T$6:$T$60,"Y")=0,"해당없음",IF(COUNTIFS('세부평가 입력'!$B$6:$B$60,$B13,'세부평가 입력'!$T$6:$T$60,"Y",'세부평가 입력'!$U$6:$U$60,"N")&gt;0,"미충족",IF(COUNTIFS('세부평가 입력'!$B$6:$B$60,$B13,'세부평가 입력'!$T$6:$T$60,"Y",'세부평가 입력'!$U$6:$U$60,"Y")=COUNTIFS('세부평가 입력'!$B$6:$B$60,$B13,'세부평가 입력'!$T$6:$T$60,"Y"),"충족","미판정")))</f>
        <v>미충족</v>
      </c>
      <c r="K13" s="16">
        <f t="shared" si="2"/>
        <v>3</v>
      </c>
      <c r="L13" s="16" t="str">
        <f>IF(COUNTIFS('세부평가 입력'!$B$6:$B$60,$B13,'세부평가 입력'!$V$6:$V$60,"확정 차단")&gt;0,"확정 차단",IF(COUNTIFS('세부평가 입력'!$B$6:$B$60,$B13,'세부평가 입력'!$V$6:$V$60,"1점 상한")&gt;0,"1점 상한",IF(COUNTIFS('세부평가 입력'!$B$6:$B$60,$B13,'세부평가 입력'!$V$6:$V$60,"경고")&gt;0,"경고","없음")))</f>
        <v>없음</v>
      </c>
      <c r="M13" s="16">
        <f t="shared" si="3"/>
        <v>4</v>
      </c>
      <c r="N13" s="16" t="str">
        <f>IF(OR(E13&lt;'기준 설정'!$D$14,COUNTIFS('세부평가 입력'!$B$6:$B$60,$B13,'세부평가 입력'!$F$6:$F$60,"CONFLICTED")&gt;0,L13="확정 차단"),"",MIN(H13,I13,K13,M13))</f>
        <v/>
      </c>
      <c r="O13" s="39"/>
      <c r="P13" s="16" t="str">
        <f t="shared" si="4"/>
        <v/>
      </c>
      <c r="Q13" s="41" t="str">
        <f>IF(COUNTIFS('세부평가 입력'!$B$6:$B$60,$B13,'세부평가 입력'!$F$6:$F$60,"CONFLICTED")&gt;0,"근거충돌",IF(L13="확정 차단","확정차단",IF(E13&lt;'기준 설정'!$D$14,"자료보완",IF(G13&lt;'기준 설정'!$E$19,"검토필수",IF(ISNUMBER(O13),"수동확정","추천완료")))))</f>
        <v>자료보완</v>
      </c>
      <c r="R13" s="41" t="str">
        <f>"ND "&amp;COUNTIFS('세부평가 입력'!$B$6:$B$60,$B13,'세부평가 입력'!$F$6:$F$60,"ND")&amp;"개 / 미입력 "&amp;COUNTIFS('세부평가 입력'!$B$6:$B$60,$B13,'세부평가 입력'!$F$6:$F$60,"")&amp;"개"</f>
        <v>ND 5개 / 미입력 0개</v>
      </c>
      <c r="S13" s="41" t="s">
        <v>254</v>
      </c>
    </row>
    <row r="14" ht="43.5" customHeight="1">
      <c r="A14" s="6" t="s">
        <v>233</v>
      </c>
      <c r="B14" s="6" t="s">
        <v>184</v>
      </c>
      <c r="C14" s="6" t="s">
        <v>185</v>
      </c>
      <c r="D14" s="16" t="str">
        <f>IF(SUMIFS('세부평가 입력'!$O$6:$O$60,'세부평가 입력'!$B$6:$B$60,$B14)=0,"",100*SUMIFS('세부평가 입력'!$N$6:$N$60,'세부평가 입력'!$B$6:$B$60,$B14)/SUMIFS('세부평가 입력'!$O$6:$O$60,'세부평가 입력'!$B$6:$B$60,$B14))</f>
        <v/>
      </c>
      <c r="E14" s="18">
        <f>IFERROR(SUMIFS('세부평가 입력'!$P$6:$P$60,'세부평가 입력'!$B$6:$B$60,$B14)/SUMIFS('세부평가 입력'!$E$6:$E$60,'세부평가 입력'!$B$6:$B$60,$B14),0)</f>
        <v>0</v>
      </c>
      <c r="F14" s="18" t="str">
        <f>IF(SUMIFS('세부평가 입력'!$O$6:$O$60,'세부평가 입력'!$B$6:$B$60,$B14)=0,"",SUMIFS('세부평가 입력'!$Q$6:$Q$60,'세부평가 입력'!$B$6:$B$60,$B14)/SUMIFS('세부평가 입력'!$O$6:$O$60,'세부평가 입력'!$B$6:$B$60,$B14))</f>
        <v/>
      </c>
      <c r="G14" s="16">
        <f t="shared" si="1"/>
        <v>0</v>
      </c>
      <c r="H14" s="16" t="str">
        <f>IF(D14="","",IF(D14&lt;'기준 설정'!$D$6,1,IF(D14&lt;'기준 설정'!$D$7,2,IF(D14&lt;'기준 설정'!$D$8,3,4))))</f>
        <v/>
      </c>
      <c r="I14" s="16">
        <f>IF(E14&lt;'기준 설정'!$D$14,0,IF(E14&lt;'기준 설정'!$D$15,3,4))</f>
        <v>0</v>
      </c>
      <c r="J14" s="16" t="str">
        <f>IF(COUNTIFS('세부평가 입력'!$B$6:$B$60,$B14,'세부평가 입력'!$T$6:$T$60,"Y")=0,"해당없음",IF(COUNTIFS('세부평가 입력'!$B$6:$B$60,$B14,'세부평가 입력'!$T$6:$T$60,"Y",'세부평가 입력'!$U$6:$U$60,"N")&gt;0,"미충족",IF(COUNTIFS('세부평가 입력'!$B$6:$B$60,$B14,'세부평가 입력'!$T$6:$T$60,"Y",'세부평가 입력'!$U$6:$U$60,"Y")=COUNTIFS('세부평가 입력'!$B$6:$B$60,$B14,'세부평가 입력'!$T$6:$T$60,"Y"),"충족","미판정")))</f>
        <v>미충족</v>
      </c>
      <c r="K14" s="16">
        <f t="shared" si="2"/>
        <v>3</v>
      </c>
      <c r="L14" s="16" t="str">
        <f>IF(COUNTIFS('세부평가 입력'!$B$6:$B$60,$B14,'세부평가 입력'!$V$6:$V$60,"확정 차단")&gt;0,"확정 차단",IF(COUNTIFS('세부평가 입력'!$B$6:$B$60,$B14,'세부평가 입력'!$V$6:$V$60,"1점 상한")&gt;0,"1점 상한",IF(COUNTIFS('세부평가 입력'!$B$6:$B$60,$B14,'세부평가 입력'!$V$6:$V$60,"경고")&gt;0,"경고","없음")))</f>
        <v>없음</v>
      </c>
      <c r="M14" s="16">
        <f t="shared" si="3"/>
        <v>4</v>
      </c>
      <c r="N14" s="16" t="str">
        <f>IF(OR(E14&lt;'기준 설정'!$D$14,COUNTIFS('세부평가 입력'!$B$6:$B$60,$B14,'세부평가 입력'!$F$6:$F$60,"CONFLICTED")&gt;0,L14="확정 차단"),"",MIN(H14,I14,K14,M14))</f>
        <v/>
      </c>
      <c r="O14" s="39"/>
      <c r="P14" s="16" t="str">
        <f t="shared" si="4"/>
        <v/>
      </c>
      <c r="Q14" s="41" t="str">
        <f>IF(COUNTIFS('세부평가 입력'!$B$6:$B$60,$B14,'세부평가 입력'!$F$6:$F$60,"CONFLICTED")&gt;0,"근거충돌",IF(L14="확정 차단","확정차단",IF(E14&lt;'기준 설정'!$D$14,"자료보완",IF(G14&lt;'기준 설정'!$E$19,"검토필수",IF(ISNUMBER(O14),"수동확정","추천완료")))))</f>
        <v>자료보완</v>
      </c>
      <c r="R14" s="41" t="str">
        <f>"ND "&amp;COUNTIFS('세부평가 입력'!$B$6:$B$60,$B14,'세부평가 입력'!$F$6:$F$60,"ND")&amp;"개 / 미입력 "&amp;COUNTIFS('세부평가 입력'!$B$6:$B$60,$B14,'세부평가 입력'!$F$6:$F$60,"")&amp;"개"</f>
        <v>ND 5개 / 미입력 0개</v>
      </c>
      <c r="S14" s="41" t="s">
        <v>280</v>
      </c>
    </row>
    <row r="15" ht="43.5" customHeight="1">
      <c r="A15" s="6" t="s">
        <v>281</v>
      </c>
      <c r="B15" s="6" t="s">
        <v>197</v>
      </c>
      <c r="C15" s="6" t="s">
        <v>198</v>
      </c>
      <c r="D15" s="16" t="str">
        <f>IF(SUMIFS('세부평가 입력'!$O$6:$O$60,'세부평가 입력'!$B$6:$B$60,$B15)=0,"",100*SUMIFS('세부평가 입력'!$N$6:$N$60,'세부평가 입력'!$B$6:$B$60,$B15)/SUMIFS('세부평가 입력'!$O$6:$O$60,'세부평가 입력'!$B$6:$B$60,$B15))</f>
        <v/>
      </c>
      <c r="E15" s="18">
        <f>IFERROR(SUMIFS('세부평가 입력'!$P$6:$P$60,'세부평가 입력'!$B$6:$B$60,$B15)/SUMIFS('세부평가 입력'!$E$6:$E$60,'세부평가 입력'!$B$6:$B$60,$B15),0)</f>
        <v>0</v>
      </c>
      <c r="F15" s="18" t="str">
        <f>IF(SUMIFS('세부평가 입력'!$O$6:$O$60,'세부평가 입력'!$B$6:$B$60,$B15)=0,"",SUMIFS('세부평가 입력'!$Q$6:$Q$60,'세부평가 입력'!$B$6:$B$60,$B15)/SUMIFS('세부평가 입력'!$O$6:$O$60,'세부평가 입력'!$B$6:$B$60,$B15))</f>
        <v/>
      </c>
      <c r="G15" s="16">
        <f t="shared" si="1"/>
        <v>0</v>
      </c>
      <c r="H15" s="16" t="str">
        <f>IF(D15="","",IF(D15&lt;'기준 설정'!$D$6,1,IF(D15&lt;'기준 설정'!$D$7,2,IF(D15&lt;'기준 설정'!$D$8,3,4))))</f>
        <v/>
      </c>
      <c r="I15" s="16">
        <f>IF(E15&lt;'기준 설정'!$D$14,0,IF(E15&lt;'기준 설정'!$D$15,3,4))</f>
        <v>0</v>
      </c>
      <c r="J15" s="16" t="str">
        <f>IF(COUNTIFS('세부평가 입력'!$B$6:$B$60,$B15,'세부평가 입력'!$T$6:$T$60,"Y")=0,"해당없음",IF(COUNTIFS('세부평가 입력'!$B$6:$B$60,$B15,'세부평가 입력'!$T$6:$T$60,"Y",'세부평가 입력'!$U$6:$U$60,"N")&gt;0,"미충족",IF(COUNTIFS('세부평가 입력'!$B$6:$B$60,$B15,'세부평가 입력'!$T$6:$T$60,"Y",'세부평가 입력'!$U$6:$U$60,"Y")=COUNTIFS('세부평가 입력'!$B$6:$B$60,$B15,'세부평가 입력'!$T$6:$T$60,"Y"),"충족","미판정")))</f>
        <v>미충족</v>
      </c>
      <c r="K15" s="16">
        <f t="shared" si="2"/>
        <v>3</v>
      </c>
      <c r="L15" s="16" t="str">
        <f>IF(COUNTIFS('세부평가 입력'!$B$6:$B$60,$B15,'세부평가 입력'!$V$6:$V$60,"확정 차단")&gt;0,"확정 차단",IF(COUNTIFS('세부평가 입력'!$B$6:$B$60,$B15,'세부평가 입력'!$V$6:$V$60,"1점 상한")&gt;0,"1점 상한",IF(COUNTIFS('세부평가 입력'!$B$6:$B$60,$B15,'세부평가 입력'!$V$6:$V$60,"경고")&gt;0,"경고","없음")))</f>
        <v>없음</v>
      </c>
      <c r="M15" s="16">
        <f t="shared" si="3"/>
        <v>4</v>
      </c>
      <c r="N15" s="16" t="str">
        <f>IF(OR(E15&lt;'기준 설정'!$D$14,COUNTIFS('세부평가 입력'!$B$6:$B$60,$B15,'세부평가 입력'!$F$6:$F$60,"CONFLICTED")&gt;0,L15="확정 차단"),"",MIN(H15,I15,K15,M15))</f>
        <v/>
      </c>
      <c r="O15" s="39"/>
      <c r="P15" s="16" t="str">
        <f t="shared" si="4"/>
        <v/>
      </c>
      <c r="Q15" s="41" t="str">
        <f>IF(COUNTIFS('세부평가 입력'!$B$6:$B$60,$B15,'세부평가 입력'!$F$6:$F$60,"CONFLICTED")&gt;0,"근거충돌",IF(L15="확정 차단","확정차단",IF(E15&lt;'기준 설정'!$D$14,"자료보완",IF(G15&lt;'기준 설정'!$E$19,"검토필수",IF(ISNUMBER(O15),"수동확정","추천완료")))))</f>
        <v>자료보완</v>
      </c>
      <c r="R15" s="41" t="str">
        <f>"ND "&amp;COUNTIFS('세부평가 입력'!$B$6:$B$60,$B15,'세부평가 입력'!$F$6:$F$60,"ND")&amp;"개 / 미입력 "&amp;COUNTIFS('세부평가 입력'!$B$6:$B$60,$B15,'세부평가 입력'!$F$6:$F$60,"")&amp;"개"</f>
        <v>ND 5개 / 미입력 0개</v>
      </c>
      <c r="S15" s="41" t="s">
        <v>313</v>
      </c>
    </row>
    <row r="16" ht="43.5" customHeight="1">
      <c r="A16" s="6" t="s">
        <v>281</v>
      </c>
      <c r="B16" s="6" t="s">
        <v>202</v>
      </c>
      <c r="C16" s="6" t="s">
        <v>203</v>
      </c>
      <c r="D16" s="16" t="str">
        <f>IF(SUMIFS('세부평가 입력'!$O$6:$O$60,'세부평가 입력'!$B$6:$B$60,$B16)=0,"",100*SUMIFS('세부평가 입력'!$N$6:$N$60,'세부평가 입력'!$B$6:$B$60,$B16)/SUMIFS('세부평가 입력'!$O$6:$O$60,'세부평가 입력'!$B$6:$B$60,$B16))</f>
        <v/>
      </c>
      <c r="E16" s="18">
        <f>IFERROR(SUMIFS('세부평가 입력'!$P$6:$P$60,'세부평가 입력'!$B$6:$B$60,$B16)/SUMIFS('세부평가 입력'!$E$6:$E$60,'세부평가 입력'!$B$6:$B$60,$B16),0)</f>
        <v>0</v>
      </c>
      <c r="F16" s="18" t="str">
        <f>IF(SUMIFS('세부평가 입력'!$O$6:$O$60,'세부평가 입력'!$B$6:$B$60,$B16)=0,"",SUMIFS('세부평가 입력'!$Q$6:$Q$60,'세부평가 입력'!$B$6:$B$60,$B16)/SUMIFS('세부평가 입력'!$O$6:$O$60,'세부평가 입력'!$B$6:$B$60,$B16))</f>
        <v/>
      </c>
      <c r="G16" s="16">
        <f t="shared" si="1"/>
        <v>0</v>
      </c>
      <c r="H16" s="16" t="str">
        <f>IF(D16="","",IF(D16&lt;'기준 설정'!$D$6,1,IF(D16&lt;'기준 설정'!$D$7,2,IF(D16&lt;'기준 설정'!$D$8,3,4))))</f>
        <v/>
      </c>
      <c r="I16" s="16">
        <f>IF(E16&lt;'기준 설정'!$D$14,0,IF(E16&lt;'기준 설정'!$D$15,3,4))</f>
        <v>0</v>
      </c>
      <c r="J16" s="16" t="str">
        <f>IF(COUNTIFS('세부평가 입력'!$B$6:$B$60,$B16,'세부평가 입력'!$T$6:$T$60,"Y")=0,"해당없음",IF(COUNTIFS('세부평가 입력'!$B$6:$B$60,$B16,'세부평가 입력'!$T$6:$T$60,"Y",'세부평가 입력'!$U$6:$U$60,"N")&gt;0,"미충족",IF(COUNTIFS('세부평가 입력'!$B$6:$B$60,$B16,'세부평가 입력'!$T$6:$T$60,"Y",'세부평가 입력'!$U$6:$U$60,"Y")=COUNTIFS('세부평가 입력'!$B$6:$B$60,$B16,'세부평가 입력'!$T$6:$T$60,"Y"),"충족","미판정")))</f>
        <v>미충족</v>
      </c>
      <c r="K16" s="16">
        <f t="shared" si="2"/>
        <v>3</v>
      </c>
      <c r="L16" s="16" t="str">
        <f>IF(COUNTIFS('세부평가 입력'!$B$6:$B$60,$B16,'세부평가 입력'!$V$6:$V$60,"확정 차단")&gt;0,"확정 차단",IF(COUNTIFS('세부평가 입력'!$B$6:$B$60,$B16,'세부평가 입력'!$V$6:$V$60,"1점 상한")&gt;0,"1점 상한",IF(COUNTIFS('세부평가 입력'!$B$6:$B$60,$B16,'세부평가 입력'!$V$6:$V$60,"경고")&gt;0,"경고","없음")))</f>
        <v>없음</v>
      </c>
      <c r="M16" s="16">
        <f t="shared" si="3"/>
        <v>4</v>
      </c>
      <c r="N16" s="16" t="str">
        <f>IF(OR(E16&lt;'기준 설정'!$D$14,COUNTIFS('세부평가 입력'!$B$6:$B$60,$B16,'세부평가 입력'!$F$6:$F$60,"CONFLICTED")&gt;0,L16="확정 차단"),"",MIN(H16,I16,K16,M16))</f>
        <v/>
      </c>
      <c r="O16" s="39"/>
      <c r="P16" s="16" t="str">
        <f t="shared" si="4"/>
        <v/>
      </c>
      <c r="Q16" s="41" t="str">
        <f>IF(COUNTIFS('세부평가 입력'!$B$6:$B$60,$B16,'세부평가 입력'!$F$6:$F$60,"CONFLICTED")&gt;0,"근거충돌",IF(L16="확정 차단","확정차단",IF(E16&lt;'기준 설정'!$D$14,"자료보완",IF(G16&lt;'기준 설정'!$E$19,"검토필수",IF(ISNUMBER(O16),"수동확정","추천완료")))))</f>
        <v>자료보완</v>
      </c>
      <c r="R16" s="41" t="str">
        <f>"ND "&amp;COUNTIFS('세부평가 입력'!$B$6:$B$60,$B16,'세부평가 입력'!$F$6:$F$60,"ND")&amp;"개 / 미입력 "&amp;COUNTIFS('세부평가 입력'!$B$6:$B$60,$B16,'세부평가 입력'!$F$6:$F$60,"")&amp;"개"</f>
        <v>ND 5개 / 미입력 0개</v>
      </c>
      <c r="S16" s="41" t="s">
        <v>345</v>
      </c>
    </row>
    <row r="19" ht="30.0" customHeight="1">
      <c r="A19" s="1" t="s">
        <v>346</v>
      </c>
    </row>
    <row r="20">
      <c r="A20" s="4" t="s">
        <v>6</v>
      </c>
      <c r="B20" s="4" t="s">
        <v>349</v>
      </c>
      <c r="C20" s="4" t="s">
        <v>350</v>
      </c>
      <c r="D20" s="4" t="s">
        <v>70</v>
      </c>
      <c r="E20" s="4" t="s">
        <v>353</v>
      </c>
      <c r="F20" s="4" t="s">
        <v>354</v>
      </c>
    </row>
    <row r="21" ht="15.75" customHeight="1">
      <c r="A21" s="70" t="s">
        <v>26</v>
      </c>
      <c r="B21" s="6">
        <v>2.0</v>
      </c>
      <c r="C21" s="71" t="str">
        <f>IFERROR(AVERAGE(P6:P7),"")</f>
        <v/>
      </c>
      <c r="D21" s="6" t="s">
        <v>93</v>
      </c>
      <c r="E21" s="72">
        <f>AVERAGE(E6:E7)</f>
        <v>0</v>
      </c>
      <c r="F21" s="71">
        <f>AVERAGE(G6:G7)</f>
        <v>0</v>
      </c>
    </row>
    <row r="22" ht="15.75" customHeight="1">
      <c r="A22" s="70" t="s">
        <v>128</v>
      </c>
      <c r="B22" s="6">
        <v>2.0</v>
      </c>
      <c r="C22" s="71" t="str">
        <f>IFERROR(AVERAGE(P8:P9),"")</f>
        <v/>
      </c>
      <c r="D22" s="6" t="s">
        <v>93</v>
      </c>
      <c r="E22" s="72">
        <f>AVERAGE(E8:E9)</f>
        <v>0</v>
      </c>
      <c r="F22" s="71">
        <f>AVERAGE(G8:G9)</f>
        <v>0</v>
      </c>
    </row>
    <row r="23" ht="15.75" customHeight="1">
      <c r="A23" s="70" t="s">
        <v>171</v>
      </c>
      <c r="B23" s="6">
        <v>3.0</v>
      </c>
      <c r="C23" s="71" t="str">
        <f>IFERROR(ROUND(AVERAGE(P10:P12),1),"")</f>
        <v/>
      </c>
      <c r="D23" s="6" t="s">
        <v>93</v>
      </c>
      <c r="E23" s="72">
        <f>AVERAGE(E10:E12)</f>
        <v>0</v>
      </c>
      <c r="F23" s="71">
        <f>AVERAGE(G10:G12)</f>
        <v>0</v>
      </c>
    </row>
    <row r="24" ht="15.75" customHeight="1">
      <c r="A24" s="70" t="s">
        <v>233</v>
      </c>
      <c r="B24" s="6">
        <v>2.0</v>
      </c>
      <c r="C24" s="71" t="str">
        <f>IFERROR(AVERAGE(P13:P14),"")</f>
        <v/>
      </c>
      <c r="D24" s="6" t="s">
        <v>93</v>
      </c>
      <c r="E24" s="72">
        <f>AVERAGE(E13:E14)</f>
        <v>0</v>
      </c>
      <c r="F24" s="71">
        <f>AVERAGE(G13:G14)</f>
        <v>0</v>
      </c>
    </row>
    <row r="25" ht="15.75" customHeight="1">
      <c r="A25" s="70" t="s">
        <v>281</v>
      </c>
      <c r="B25" s="6">
        <v>2.0</v>
      </c>
      <c r="C25" s="71" t="str">
        <f>IFERROR(AVERAGE(P15:P16),"")</f>
        <v/>
      </c>
      <c r="D25" s="6" t="s">
        <v>93</v>
      </c>
      <c r="E25" s="72">
        <f>AVERAGE(E15:E16)</f>
        <v>0</v>
      </c>
      <c r="F25" s="71">
        <f>AVERAGE(G15:G16)</f>
        <v>0</v>
      </c>
    </row>
    <row r="26" ht="15.75" customHeight="1"/>
    <row r="27" ht="15.75" customHeight="1">
      <c r="A27" s="4" t="s">
        <v>382</v>
      </c>
      <c r="B27" s="4" t="s">
        <v>383</v>
      </c>
      <c r="C27" s="4" t="s">
        <v>384</v>
      </c>
      <c r="D27" s="4" t="s">
        <v>386</v>
      </c>
    </row>
    <row r="28" ht="15.75" customHeight="1">
      <c r="A28" s="73" t="s">
        <v>387</v>
      </c>
      <c r="B28" s="74" t="str">
        <f>IF(COUNT(C21:C25)&lt;5,"",SUM(C21:C25))</f>
        <v/>
      </c>
      <c r="C28" s="6" t="s">
        <v>388</v>
      </c>
      <c r="D28" s="6" t="s">
        <v>389</v>
      </c>
    </row>
    <row r="29" ht="15.75" customHeight="1">
      <c r="A29" s="73" t="s">
        <v>390</v>
      </c>
      <c r="B29" s="75" t="str">
        <f>IF(B28="","",IF(B28&gt;=18,"A",IF(B28&gt;=16,"B",IF(B28&gt;=14,"C",IF(B28&gt;=12,"D",IF(B28&gt;=10,"E","F"))))))</f>
        <v/>
      </c>
      <c r="C29" s="6" t="s">
        <v>393</v>
      </c>
      <c r="D29" s="6" t="s">
        <v>394</v>
      </c>
    </row>
    <row r="30" ht="15.75" customHeight="1">
      <c r="A30" s="73" t="s">
        <v>395</v>
      </c>
      <c r="B30" s="75" t="str">
        <f>IF(B28="","",IF(B28&gt;=18,"매우성공적",IF(B28&gt;=14,"성공적",IF(B28&gt;=10,"부분성공적","미흡"))))</f>
        <v/>
      </c>
      <c r="C30" s="6" t="s">
        <v>396</v>
      </c>
      <c r="D30" s="6" t="s">
        <v>397</v>
      </c>
    </row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1:S1"/>
    <mergeCell ref="A2:S2"/>
    <mergeCell ref="A19:F19"/>
  </mergeCells>
  <conditionalFormatting sqref="D6:G1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6:Q16">
    <cfRule type="containsText" dxfId="0" priority="2" operator="containsText" text="자료보완">
      <formula>NOT(ISERROR(SEARCH(("자료보완"),(Q6))))</formula>
    </cfRule>
  </conditionalFormatting>
  <dataValidations>
    <dataValidation type="decimal" allowBlank="1" sqref="O6:O16">
      <formula1>1.0</formula1>
      <formula2>4.0</formula2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ED7D31"/>
    <pageSetUpPr/>
  </sheetPr>
  <sheetViews>
    <sheetView showGridLines="0" workbookViewId="0">
      <pane xSplit="5.0" ySplit="5.0" topLeftCell="F6" activePane="bottomRight" state="frozen"/>
      <selection activeCell="F1" sqref="F1" pane="topRight"/>
      <selection activeCell="A6" sqref="A6" pane="bottomLeft"/>
      <selection activeCell="F6" sqref="F6" pane="bottomRight"/>
    </sheetView>
  </sheetViews>
  <sheetFormatPr customHeight="1" defaultColWidth="14.43" defaultRowHeight="15.0"/>
  <cols>
    <col customWidth="1" min="1" max="1" width="14.0"/>
    <col customWidth="1" min="2" max="2" width="9.0"/>
    <col customWidth="1" min="3" max="3" width="13.0"/>
    <col customWidth="1" min="4" max="4" width="28.0"/>
    <col customWidth="1" min="5" max="5" width="10.0"/>
    <col customWidth="1" min="6" max="6" width="12.0"/>
    <col customWidth="1" min="7" max="12" width="9.0"/>
    <col customWidth="1" min="13" max="15" width="12.0"/>
    <col customWidth="1" min="16" max="16" width="14.0"/>
    <col customWidth="1" min="17" max="17" width="12.0"/>
    <col customWidth="1" min="18" max="18" width="32.0"/>
    <col customWidth="1" min="19" max="19" width="38.0"/>
    <col customWidth="1" min="20" max="20" width="10.0"/>
    <col customWidth="1" min="21" max="22" width="11.0"/>
    <col customWidth="1" min="23" max="23" width="12.0"/>
    <col customWidth="1" min="24" max="26" width="8.71"/>
  </cols>
  <sheetData>
    <row r="1" ht="30.0" customHeight="1">
      <c r="A1" s="1" t="s">
        <v>13</v>
      </c>
    </row>
    <row r="2" ht="33.75" customHeight="1">
      <c r="A2" s="2" t="s">
        <v>29</v>
      </c>
    </row>
    <row r="3" ht="33.75" customHeight="1">
      <c r="A3" s="8" t="s">
        <v>32</v>
      </c>
    </row>
    <row r="5">
      <c r="A5" s="4" t="s">
        <v>6</v>
      </c>
      <c r="B5" s="4" t="s">
        <v>7</v>
      </c>
      <c r="C5" s="4" t="s">
        <v>33</v>
      </c>
      <c r="D5" s="4" t="s">
        <v>34</v>
      </c>
      <c r="E5" s="4" t="s">
        <v>35</v>
      </c>
      <c r="F5" s="4" t="s">
        <v>37</v>
      </c>
      <c r="G5" s="4" t="s">
        <v>38</v>
      </c>
      <c r="H5" s="4" t="s">
        <v>39</v>
      </c>
      <c r="I5" s="4" t="s">
        <v>40</v>
      </c>
      <c r="J5" s="4" t="s">
        <v>43</v>
      </c>
      <c r="K5" s="4" t="s">
        <v>44</v>
      </c>
      <c r="L5" s="4" t="s">
        <v>47</v>
      </c>
      <c r="M5" s="4" t="s">
        <v>11</v>
      </c>
      <c r="N5" s="4" t="s">
        <v>49</v>
      </c>
      <c r="O5" s="4" t="s">
        <v>50</v>
      </c>
      <c r="P5" s="4" t="s">
        <v>53</v>
      </c>
      <c r="Q5" s="4" t="s">
        <v>55</v>
      </c>
      <c r="R5" s="4" t="s">
        <v>56</v>
      </c>
      <c r="S5" s="4" t="s">
        <v>58</v>
      </c>
      <c r="T5" s="4" t="s">
        <v>59</v>
      </c>
      <c r="U5" s="4" t="s">
        <v>60</v>
      </c>
      <c r="V5" s="4" t="s">
        <v>18</v>
      </c>
      <c r="W5" s="4" t="s">
        <v>61</v>
      </c>
    </row>
    <row r="6" ht="42.75" customHeight="1">
      <c r="A6" s="19" t="s">
        <v>26</v>
      </c>
      <c r="B6" s="19" t="s">
        <v>27</v>
      </c>
      <c r="C6" s="19" t="s">
        <v>66</v>
      </c>
      <c r="D6" s="6" t="s">
        <v>68</v>
      </c>
      <c r="E6" s="22">
        <v>20.0</v>
      </c>
      <c r="F6" s="27" t="str">
        <f>'종료평가용'!AJ9</f>
        <v>ND</v>
      </c>
      <c r="G6" s="29" t="str">
        <f t="shared" ref="G6:G60" si="1">IF(F6="","",IF(OR(F6="ND",F6="CONFLICTED"),"",VALUE(F6)))</f>
        <v/>
      </c>
      <c r="H6" s="29" t="str">
        <f>IF('종료평가용'!AD9&lt;&gt;"☑","",IF('종료평가용'!AF9="☑",1,0.5))</f>
        <v/>
      </c>
      <c r="I6" s="29" t="str">
        <f>IF('종료평가용'!AD9&lt;&gt;"☑","",IF('종료평가용'!AE9="☑",1,0))</f>
        <v/>
      </c>
      <c r="J6" s="29" t="str">
        <f>IF('종료평가용'!AD9&lt;&gt;"☑","",IF('종료평가용'!AG9="☑",1,0))</f>
        <v/>
      </c>
      <c r="K6" s="29" t="str">
        <f>IF('종료평가용'!AD9&lt;&gt;"☑","",IF('종료평가용'!AH9="☑",1,0))</f>
        <v/>
      </c>
      <c r="L6" s="29" t="str">
        <f>IF('종료평가용'!AD9&lt;&gt;"☑","",IF('종료평가용'!AI9="☑",1,0))</f>
        <v/>
      </c>
      <c r="M6" s="29" t="str">
        <f>IF(COUNT(H6:L6)&lt;5,"",H6*'기준 설정'!$B$13+I6*'기준 설정'!$B$14+J6*'기준 설정'!$B$15+K6*'기준 설정'!$B$16+L6*'기준 설정'!$B$17)</f>
        <v/>
      </c>
      <c r="N6" s="29" t="str">
        <f t="shared" ref="N6:N60" si="2">IF(ISNUMBER(G6),E6*G6,"")</f>
        <v/>
      </c>
      <c r="O6" s="29">
        <f t="shared" ref="O6:O60" si="3">IF(ISNUMBER(G6),E6,0)</f>
        <v>0</v>
      </c>
      <c r="P6" s="29">
        <f>IF(AND(ISNUMBER(G6),ISNUMBER(M6),M6&gt;='기준 설정'!$E$18),E6,0)</f>
        <v>0</v>
      </c>
      <c r="Q6" s="29">
        <f t="shared" ref="Q6:Q60" si="4">IF(AND(ISNUMBER(G6),ISNUMBER(M6)),E6*M6,0)</f>
        <v>0</v>
      </c>
      <c r="R6" s="6" t="s">
        <v>102</v>
      </c>
      <c r="S6" s="41" t="str">
        <f>IF('종료평가용'!AM9="","",'종료평가용'!AM9)</f>
        <v/>
      </c>
      <c r="T6" s="19" t="s">
        <v>103</v>
      </c>
      <c r="U6" s="27" t="str">
        <f t="shared" ref="U6:U60" si="5">IF(T6="N","해당없음",IF(F6="1.00","Y","N"))</f>
        <v>N</v>
      </c>
      <c r="V6" s="27" t="str">
        <f>'종료평가용'!AN9</f>
        <v>없음</v>
      </c>
      <c r="W6" s="27" t="str">
        <f t="shared" ref="W6:W60" si="6">IF(F6="","미입력",IF(F6="ND","미입증",IF(F6="CONFLICTED","근거충돌",IF(P6=0,"증거취약","확인"))))</f>
        <v>미입증</v>
      </c>
    </row>
    <row r="7" ht="42.75" customHeight="1">
      <c r="A7" s="19" t="s">
        <v>26</v>
      </c>
      <c r="B7" s="19" t="s">
        <v>27</v>
      </c>
      <c r="C7" s="19" t="s">
        <v>107</v>
      </c>
      <c r="D7" s="6" t="s">
        <v>108</v>
      </c>
      <c r="E7" s="22">
        <v>20.0</v>
      </c>
      <c r="F7" s="27" t="str">
        <f>'종료평가용'!AJ10</f>
        <v>ND</v>
      </c>
      <c r="G7" s="29" t="str">
        <f t="shared" si="1"/>
        <v/>
      </c>
      <c r="H7" s="29" t="str">
        <f>IF('종료평가용'!AD10&lt;&gt;"☑","",IF('종료평가용'!AF10="☑",1,0.5))</f>
        <v/>
      </c>
      <c r="I7" s="29" t="str">
        <f>IF('종료평가용'!AD10&lt;&gt;"☑","",IF('종료평가용'!AE10="☑",1,0))</f>
        <v/>
      </c>
      <c r="J7" s="29" t="str">
        <f>IF('종료평가용'!AD10&lt;&gt;"☑","",IF('종료평가용'!AG10="☑",1,0))</f>
        <v/>
      </c>
      <c r="K7" s="29" t="str">
        <f>IF('종료평가용'!AD10&lt;&gt;"☑","",IF('종료평가용'!AH10="☑",1,0))</f>
        <v/>
      </c>
      <c r="L7" s="29" t="str">
        <f>IF('종료평가용'!AD10&lt;&gt;"☑","",IF('종료평가용'!AI10="☑",1,0))</f>
        <v/>
      </c>
      <c r="M7" s="29" t="str">
        <f>IF(COUNT(H7:L7)&lt;5,"",H7*'기준 설정'!$B$13+I7*'기준 설정'!$B$14+J7*'기준 설정'!$B$15+K7*'기준 설정'!$B$16+L7*'기준 설정'!$B$17)</f>
        <v/>
      </c>
      <c r="N7" s="29" t="str">
        <f t="shared" si="2"/>
        <v/>
      </c>
      <c r="O7" s="29">
        <f t="shared" si="3"/>
        <v>0</v>
      </c>
      <c r="P7" s="29">
        <f>IF(AND(ISNUMBER(G7),ISNUMBER(M7),M7&gt;='기준 설정'!$E$18),E7,0)</f>
        <v>0</v>
      </c>
      <c r="Q7" s="29">
        <f t="shared" si="4"/>
        <v>0</v>
      </c>
      <c r="R7" s="6" t="s">
        <v>114</v>
      </c>
      <c r="S7" s="41" t="str">
        <f>IF('종료평가용'!AM10="","",'종료평가용'!AM10)</f>
        <v/>
      </c>
      <c r="T7" s="19" t="s">
        <v>103</v>
      </c>
      <c r="U7" s="27" t="str">
        <f t="shared" si="5"/>
        <v>N</v>
      </c>
      <c r="V7" s="27" t="str">
        <f>'종료평가용'!AN10</f>
        <v>없음</v>
      </c>
      <c r="W7" s="27" t="str">
        <f t="shared" si="6"/>
        <v>미입증</v>
      </c>
    </row>
    <row r="8" ht="42.75" customHeight="1">
      <c r="A8" s="19" t="s">
        <v>26</v>
      </c>
      <c r="B8" s="19" t="s">
        <v>27</v>
      </c>
      <c r="C8" s="19" t="s">
        <v>115</v>
      </c>
      <c r="D8" s="6" t="s">
        <v>116</v>
      </c>
      <c r="E8" s="22">
        <v>20.0</v>
      </c>
      <c r="F8" s="27" t="str">
        <f>'종료평가용'!AJ11</f>
        <v>ND</v>
      </c>
      <c r="G8" s="29" t="str">
        <f t="shared" si="1"/>
        <v/>
      </c>
      <c r="H8" s="29" t="str">
        <f>IF('종료평가용'!AD11&lt;&gt;"☑","",IF('종료평가용'!AF11="☑",1,0.5))</f>
        <v/>
      </c>
      <c r="I8" s="29" t="str">
        <f>IF('종료평가용'!AD11&lt;&gt;"☑","",IF('종료평가용'!AE11="☑",1,0))</f>
        <v/>
      </c>
      <c r="J8" s="29" t="str">
        <f>IF('종료평가용'!AD11&lt;&gt;"☑","",IF('종료평가용'!AG11="☑",1,0))</f>
        <v/>
      </c>
      <c r="K8" s="29" t="str">
        <f>IF('종료평가용'!AD11&lt;&gt;"☑","",IF('종료평가용'!AH11="☑",1,0))</f>
        <v/>
      </c>
      <c r="L8" s="29" t="str">
        <f>IF('종료평가용'!AD11&lt;&gt;"☑","",IF('종료평가용'!AI11="☑",1,0))</f>
        <v/>
      </c>
      <c r="M8" s="29" t="str">
        <f>IF(COUNT(H8:L8)&lt;5,"",H8*'기준 설정'!$B$13+I8*'기준 설정'!$B$14+J8*'기준 설정'!$B$15+K8*'기준 설정'!$B$16+L8*'기준 설정'!$B$17)</f>
        <v/>
      </c>
      <c r="N8" s="29" t="str">
        <f t="shared" si="2"/>
        <v/>
      </c>
      <c r="O8" s="29">
        <f t="shared" si="3"/>
        <v>0</v>
      </c>
      <c r="P8" s="29">
        <f>IF(AND(ISNUMBER(G8),ISNUMBER(M8),M8&gt;='기준 설정'!$E$18),E8,0)</f>
        <v>0</v>
      </c>
      <c r="Q8" s="29">
        <f t="shared" si="4"/>
        <v>0</v>
      </c>
      <c r="R8" s="6" t="s">
        <v>124</v>
      </c>
      <c r="S8" s="41" t="str">
        <f>IF('종료평가용'!AM11="","",'종료평가용'!AM11)</f>
        <v/>
      </c>
      <c r="T8" s="19" t="s">
        <v>103</v>
      </c>
      <c r="U8" s="27" t="str">
        <f t="shared" si="5"/>
        <v>N</v>
      </c>
      <c r="V8" s="27" t="str">
        <f>'종료평가용'!AN11</f>
        <v>없음</v>
      </c>
      <c r="W8" s="27" t="str">
        <f t="shared" si="6"/>
        <v>미입증</v>
      </c>
    </row>
    <row r="9" ht="42.75" customHeight="1">
      <c r="A9" s="19" t="s">
        <v>26</v>
      </c>
      <c r="B9" s="19" t="s">
        <v>27</v>
      </c>
      <c r="C9" s="19" t="s">
        <v>125</v>
      </c>
      <c r="D9" s="6" t="s">
        <v>126</v>
      </c>
      <c r="E9" s="22">
        <v>20.0</v>
      </c>
      <c r="F9" s="27" t="str">
        <f>'종료평가용'!AJ12</f>
        <v>ND</v>
      </c>
      <c r="G9" s="29" t="str">
        <f t="shared" si="1"/>
        <v/>
      </c>
      <c r="H9" s="29" t="str">
        <f>IF('종료평가용'!AD12&lt;&gt;"☑","",IF('종료평가용'!AF12="☑",1,0.5))</f>
        <v/>
      </c>
      <c r="I9" s="29" t="str">
        <f>IF('종료평가용'!AD12&lt;&gt;"☑","",IF('종료평가용'!AE12="☑",1,0))</f>
        <v/>
      </c>
      <c r="J9" s="29" t="str">
        <f>IF('종료평가용'!AD12&lt;&gt;"☑","",IF('종료평가용'!AG12="☑",1,0))</f>
        <v/>
      </c>
      <c r="K9" s="29" t="str">
        <f>IF('종료평가용'!AD12&lt;&gt;"☑","",IF('종료평가용'!AH12="☑",1,0))</f>
        <v/>
      </c>
      <c r="L9" s="29" t="str">
        <f>IF('종료평가용'!AD12&lt;&gt;"☑","",IF('종료평가용'!AI12="☑",1,0))</f>
        <v/>
      </c>
      <c r="M9" s="29" t="str">
        <f>IF(COUNT(H9:L9)&lt;5,"",H9*'기준 설정'!$B$13+I9*'기준 설정'!$B$14+J9*'기준 설정'!$B$15+K9*'기준 설정'!$B$16+L9*'기준 설정'!$B$17)</f>
        <v/>
      </c>
      <c r="N9" s="29" t="str">
        <f t="shared" si="2"/>
        <v/>
      </c>
      <c r="O9" s="29">
        <f t="shared" si="3"/>
        <v>0</v>
      </c>
      <c r="P9" s="29">
        <f>IF(AND(ISNUMBER(G9),ISNUMBER(M9),M9&gt;='기준 설정'!$E$18),E9,0)</f>
        <v>0</v>
      </c>
      <c r="Q9" s="29">
        <f t="shared" si="4"/>
        <v>0</v>
      </c>
      <c r="R9" s="6" t="s">
        <v>136</v>
      </c>
      <c r="S9" s="41" t="str">
        <f>IF('종료평가용'!AM12="","",'종료평가용'!AM12)</f>
        <v/>
      </c>
      <c r="T9" s="19" t="s">
        <v>103</v>
      </c>
      <c r="U9" s="27" t="str">
        <f t="shared" si="5"/>
        <v>N</v>
      </c>
      <c r="V9" s="27" t="str">
        <f>'종료평가용'!AN12</f>
        <v>없음</v>
      </c>
      <c r="W9" s="27" t="str">
        <f t="shared" si="6"/>
        <v>미입증</v>
      </c>
    </row>
    <row r="10" ht="42.75" customHeight="1">
      <c r="A10" s="19" t="s">
        <v>26</v>
      </c>
      <c r="B10" s="19" t="s">
        <v>27</v>
      </c>
      <c r="C10" s="19" t="s">
        <v>137</v>
      </c>
      <c r="D10" s="6" t="s">
        <v>138</v>
      </c>
      <c r="E10" s="22">
        <v>20.0</v>
      </c>
      <c r="F10" s="27" t="str">
        <f>'종료평가용'!AJ13</f>
        <v>ND</v>
      </c>
      <c r="G10" s="29" t="str">
        <f t="shared" si="1"/>
        <v/>
      </c>
      <c r="H10" s="29" t="str">
        <f>IF('종료평가용'!AD13&lt;&gt;"☑","",IF('종료평가용'!AF13="☑",1,0.5))</f>
        <v/>
      </c>
      <c r="I10" s="29" t="str">
        <f>IF('종료평가용'!AD13&lt;&gt;"☑","",IF('종료평가용'!AE13="☑",1,0))</f>
        <v/>
      </c>
      <c r="J10" s="29" t="str">
        <f>IF('종료평가용'!AD13&lt;&gt;"☑","",IF('종료평가용'!AG13="☑",1,0))</f>
        <v/>
      </c>
      <c r="K10" s="29" t="str">
        <f>IF('종료평가용'!AD13&lt;&gt;"☑","",IF('종료평가용'!AH13="☑",1,0))</f>
        <v/>
      </c>
      <c r="L10" s="29" t="str">
        <f>IF('종료평가용'!AD13&lt;&gt;"☑","",IF('종료평가용'!AI13="☑",1,0))</f>
        <v/>
      </c>
      <c r="M10" s="29" t="str">
        <f>IF(COUNT(H10:L10)&lt;5,"",H10*'기준 설정'!$B$13+I10*'기준 설정'!$B$14+J10*'기준 설정'!$B$15+K10*'기준 설정'!$B$16+L10*'기준 설정'!$B$17)</f>
        <v/>
      </c>
      <c r="N10" s="29" t="str">
        <f t="shared" si="2"/>
        <v/>
      </c>
      <c r="O10" s="29">
        <f t="shared" si="3"/>
        <v>0</v>
      </c>
      <c r="P10" s="29">
        <f>IF(AND(ISNUMBER(G10),ISNUMBER(M10),M10&gt;='기준 설정'!$E$18),E10,0)</f>
        <v>0</v>
      </c>
      <c r="Q10" s="29">
        <f t="shared" si="4"/>
        <v>0</v>
      </c>
      <c r="R10" s="6" t="s">
        <v>144</v>
      </c>
      <c r="S10" s="41" t="str">
        <f>IF('종료평가용'!AM13="","",'종료평가용'!AM13)</f>
        <v/>
      </c>
      <c r="T10" s="19" t="s">
        <v>103</v>
      </c>
      <c r="U10" s="27" t="str">
        <f t="shared" si="5"/>
        <v>N</v>
      </c>
      <c r="V10" s="27" t="str">
        <f>'종료평가용'!AN13</f>
        <v>없음</v>
      </c>
      <c r="W10" s="27" t="str">
        <f t="shared" si="6"/>
        <v>미입증</v>
      </c>
    </row>
    <row r="11" ht="42.75" customHeight="1">
      <c r="A11" s="19" t="s">
        <v>26</v>
      </c>
      <c r="B11" s="19" t="s">
        <v>105</v>
      </c>
      <c r="C11" s="19" t="s">
        <v>148</v>
      </c>
      <c r="D11" s="6" t="s">
        <v>149</v>
      </c>
      <c r="E11" s="22">
        <v>20.0</v>
      </c>
      <c r="F11" s="27" t="str">
        <f>'종료평가용'!AJ14</f>
        <v>ND</v>
      </c>
      <c r="G11" s="29" t="str">
        <f t="shared" si="1"/>
        <v/>
      </c>
      <c r="H11" s="29" t="str">
        <f>IF('종료평가용'!AD14&lt;&gt;"☑","",IF('종료평가용'!AF14="☑",1,0.5))</f>
        <v/>
      </c>
      <c r="I11" s="29" t="str">
        <f>IF('종료평가용'!AD14&lt;&gt;"☑","",IF('종료평가용'!AE14="☑",1,0))</f>
        <v/>
      </c>
      <c r="J11" s="29" t="str">
        <f>IF('종료평가용'!AD14&lt;&gt;"☑","",IF('종료평가용'!AG14="☑",1,0))</f>
        <v/>
      </c>
      <c r="K11" s="29" t="str">
        <f>IF('종료평가용'!AD14&lt;&gt;"☑","",IF('종료평가용'!AH14="☑",1,0))</f>
        <v/>
      </c>
      <c r="L11" s="29" t="str">
        <f>IF('종료평가용'!AD14&lt;&gt;"☑","",IF('종료평가용'!AI14="☑",1,0))</f>
        <v/>
      </c>
      <c r="M11" s="29" t="str">
        <f>IF(COUNT(H11:L11)&lt;5,"",H11*'기준 설정'!$B$13+I11*'기준 설정'!$B$14+J11*'기준 설정'!$B$15+K11*'기준 설정'!$B$16+L11*'기준 설정'!$B$17)</f>
        <v/>
      </c>
      <c r="N11" s="29" t="str">
        <f t="shared" si="2"/>
        <v/>
      </c>
      <c r="O11" s="29">
        <f t="shared" si="3"/>
        <v>0</v>
      </c>
      <c r="P11" s="29">
        <f>IF(AND(ISNUMBER(G11),ISNUMBER(M11),M11&gt;='기준 설정'!$E$18),E11,0)</f>
        <v>0</v>
      </c>
      <c r="Q11" s="29">
        <f t="shared" si="4"/>
        <v>0</v>
      </c>
      <c r="R11" s="6" t="s">
        <v>151</v>
      </c>
      <c r="S11" s="41" t="str">
        <f>IF('종료평가용'!AM14="","",'종료평가용'!AM14)</f>
        <v/>
      </c>
      <c r="T11" s="19" t="s">
        <v>103</v>
      </c>
      <c r="U11" s="27" t="str">
        <f t="shared" si="5"/>
        <v>N</v>
      </c>
      <c r="V11" s="27" t="str">
        <f>'종료평가용'!AN14</f>
        <v>없음</v>
      </c>
      <c r="W11" s="27" t="str">
        <f t="shared" si="6"/>
        <v>미입증</v>
      </c>
    </row>
    <row r="12" ht="42.75" customHeight="1">
      <c r="A12" s="19" t="s">
        <v>26</v>
      </c>
      <c r="B12" s="19" t="s">
        <v>105</v>
      </c>
      <c r="C12" s="19" t="s">
        <v>154</v>
      </c>
      <c r="D12" s="6" t="s">
        <v>155</v>
      </c>
      <c r="E12" s="22">
        <v>20.0</v>
      </c>
      <c r="F12" s="27" t="str">
        <f>'종료평가용'!AJ15</f>
        <v>ND</v>
      </c>
      <c r="G12" s="29" t="str">
        <f t="shared" si="1"/>
        <v/>
      </c>
      <c r="H12" s="29" t="str">
        <f>IF('종료평가용'!AD15&lt;&gt;"☑","",IF('종료평가용'!AF15="☑",1,0.5))</f>
        <v/>
      </c>
      <c r="I12" s="29" t="str">
        <f>IF('종료평가용'!AD15&lt;&gt;"☑","",IF('종료평가용'!AE15="☑",1,0))</f>
        <v/>
      </c>
      <c r="J12" s="29" t="str">
        <f>IF('종료평가용'!AD15&lt;&gt;"☑","",IF('종료평가용'!AG15="☑",1,0))</f>
        <v/>
      </c>
      <c r="K12" s="29" t="str">
        <f>IF('종료평가용'!AD15&lt;&gt;"☑","",IF('종료평가용'!AH15="☑",1,0))</f>
        <v/>
      </c>
      <c r="L12" s="29" t="str">
        <f>IF('종료평가용'!AD15&lt;&gt;"☑","",IF('종료평가용'!AI15="☑",1,0))</f>
        <v/>
      </c>
      <c r="M12" s="29" t="str">
        <f>IF(COUNT(H12:L12)&lt;5,"",H12*'기준 설정'!$B$13+I12*'기준 설정'!$B$14+J12*'기준 설정'!$B$15+K12*'기준 설정'!$B$16+L12*'기준 설정'!$B$17)</f>
        <v/>
      </c>
      <c r="N12" s="29" t="str">
        <f t="shared" si="2"/>
        <v/>
      </c>
      <c r="O12" s="29">
        <f t="shared" si="3"/>
        <v>0</v>
      </c>
      <c r="P12" s="29">
        <f>IF(AND(ISNUMBER(G12),ISNUMBER(M12),M12&gt;='기준 설정'!$E$18),E12,0)</f>
        <v>0</v>
      </c>
      <c r="Q12" s="29">
        <f t="shared" si="4"/>
        <v>0</v>
      </c>
      <c r="R12" s="6" t="s">
        <v>167</v>
      </c>
      <c r="S12" s="41" t="str">
        <f>IF('종료평가용'!AM15="","",'종료평가용'!AM15)</f>
        <v/>
      </c>
      <c r="T12" s="19" t="s">
        <v>103</v>
      </c>
      <c r="U12" s="27" t="str">
        <f t="shared" si="5"/>
        <v>N</v>
      </c>
      <c r="V12" s="27" t="str">
        <f>'종료평가용'!AN15</f>
        <v>없음</v>
      </c>
      <c r="W12" s="27" t="str">
        <f t="shared" si="6"/>
        <v>미입증</v>
      </c>
    </row>
    <row r="13" ht="42.75" customHeight="1">
      <c r="A13" s="19" t="s">
        <v>26</v>
      </c>
      <c r="B13" s="19" t="s">
        <v>105</v>
      </c>
      <c r="C13" s="19" t="s">
        <v>168</v>
      </c>
      <c r="D13" s="6" t="s">
        <v>169</v>
      </c>
      <c r="E13" s="22">
        <v>20.0</v>
      </c>
      <c r="F13" s="27" t="str">
        <f>'종료평가용'!AJ16</f>
        <v>ND</v>
      </c>
      <c r="G13" s="29" t="str">
        <f t="shared" si="1"/>
        <v/>
      </c>
      <c r="H13" s="29" t="str">
        <f>IF('종료평가용'!AD16&lt;&gt;"☑","",IF('종료평가용'!AF16="☑",1,0.5))</f>
        <v/>
      </c>
      <c r="I13" s="29" t="str">
        <f>IF('종료평가용'!AD16&lt;&gt;"☑","",IF('종료평가용'!AE16="☑",1,0))</f>
        <v/>
      </c>
      <c r="J13" s="29" t="str">
        <f>IF('종료평가용'!AD16&lt;&gt;"☑","",IF('종료평가용'!AG16="☑",1,0))</f>
        <v/>
      </c>
      <c r="K13" s="29" t="str">
        <f>IF('종료평가용'!AD16&lt;&gt;"☑","",IF('종료평가용'!AH16="☑",1,0))</f>
        <v/>
      </c>
      <c r="L13" s="29" t="str">
        <f>IF('종료평가용'!AD16&lt;&gt;"☑","",IF('종료평가용'!AI16="☑",1,0))</f>
        <v/>
      </c>
      <c r="M13" s="29" t="str">
        <f>IF(COUNT(H13:L13)&lt;5,"",H13*'기준 설정'!$B$13+I13*'기준 설정'!$B$14+J13*'기준 설정'!$B$15+K13*'기준 설정'!$B$16+L13*'기준 설정'!$B$17)</f>
        <v/>
      </c>
      <c r="N13" s="29" t="str">
        <f t="shared" si="2"/>
        <v/>
      </c>
      <c r="O13" s="29">
        <f t="shared" si="3"/>
        <v>0</v>
      </c>
      <c r="P13" s="29">
        <f>IF(AND(ISNUMBER(G13),ISNUMBER(M13),M13&gt;='기준 설정'!$E$18),E13,0)</f>
        <v>0</v>
      </c>
      <c r="Q13" s="29">
        <f t="shared" si="4"/>
        <v>0</v>
      </c>
      <c r="R13" s="6" t="s">
        <v>178</v>
      </c>
      <c r="S13" s="41" t="str">
        <f>IF('종료평가용'!AM16="","",'종료평가용'!AM16)</f>
        <v/>
      </c>
      <c r="T13" s="19" t="s">
        <v>103</v>
      </c>
      <c r="U13" s="27" t="str">
        <f t="shared" si="5"/>
        <v>N</v>
      </c>
      <c r="V13" s="27" t="str">
        <f>'종료평가용'!AN16</f>
        <v>없음</v>
      </c>
      <c r="W13" s="27" t="str">
        <f t="shared" si="6"/>
        <v>미입증</v>
      </c>
    </row>
    <row r="14" ht="42.75" customHeight="1">
      <c r="A14" s="19" t="s">
        <v>26</v>
      </c>
      <c r="B14" s="19" t="s">
        <v>105</v>
      </c>
      <c r="C14" s="19" t="s">
        <v>179</v>
      </c>
      <c r="D14" s="6" t="s">
        <v>180</v>
      </c>
      <c r="E14" s="22">
        <v>20.0</v>
      </c>
      <c r="F14" s="27" t="str">
        <f>'종료평가용'!AJ17</f>
        <v>ND</v>
      </c>
      <c r="G14" s="29" t="str">
        <f t="shared" si="1"/>
        <v/>
      </c>
      <c r="H14" s="29" t="str">
        <f>IF('종료평가용'!AD17&lt;&gt;"☑","",IF('종료평가용'!AF17="☑",1,0.5))</f>
        <v/>
      </c>
      <c r="I14" s="29" t="str">
        <f>IF('종료평가용'!AD17&lt;&gt;"☑","",IF('종료평가용'!AE17="☑",1,0))</f>
        <v/>
      </c>
      <c r="J14" s="29" t="str">
        <f>IF('종료평가용'!AD17&lt;&gt;"☑","",IF('종료평가용'!AG17="☑",1,0))</f>
        <v/>
      </c>
      <c r="K14" s="29" t="str">
        <f>IF('종료평가용'!AD17&lt;&gt;"☑","",IF('종료평가용'!AH17="☑",1,0))</f>
        <v/>
      </c>
      <c r="L14" s="29" t="str">
        <f>IF('종료평가용'!AD17&lt;&gt;"☑","",IF('종료평가용'!AI17="☑",1,0))</f>
        <v/>
      </c>
      <c r="M14" s="29" t="str">
        <f>IF(COUNT(H14:L14)&lt;5,"",H14*'기준 설정'!$B$13+I14*'기준 설정'!$B$14+J14*'기준 설정'!$B$15+K14*'기준 설정'!$B$16+L14*'기준 설정'!$B$17)</f>
        <v/>
      </c>
      <c r="N14" s="29" t="str">
        <f t="shared" si="2"/>
        <v/>
      </c>
      <c r="O14" s="29">
        <f t="shared" si="3"/>
        <v>0</v>
      </c>
      <c r="P14" s="29">
        <f>IF(AND(ISNUMBER(G14),ISNUMBER(M14),M14&gt;='기준 설정'!$E$18),E14,0)</f>
        <v>0</v>
      </c>
      <c r="Q14" s="29">
        <f t="shared" si="4"/>
        <v>0</v>
      </c>
      <c r="R14" s="6" t="s">
        <v>183</v>
      </c>
      <c r="S14" s="41" t="str">
        <f>IF('종료평가용'!AM17="","",'종료평가용'!AM17)</f>
        <v/>
      </c>
      <c r="T14" s="19" t="s">
        <v>103</v>
      </c>
      <c r="U14" s="27" t="str">
        <f t="shared" si="5"/>
        <v>N</v>
      </c>
      <c r="V14" s="27" t="str">
        <f>'종료평가용'!AN17</f>
        <v>없음</v>
      </c>
      <c r="W14" s="27" t="str">
        <f t="shared" si="6"/>
        <v>미입증</v>
      </c>
    </row>
    <row r="15" ht="42.75" customHeight="1">
      <c r="A15" s="19" t="s">
        <v>26</v>
      </c>
      <c r="B15" s="19" t="s">
        <v>105</v>
      </c>
      <c r="C15" s="19" t="s">
        <v>186</v>
      </c>
      <c r="D15" s="6" t="s">
        <v>187</v>
      </c>
      <c r="E15" s="22">
        <v>20.0</v>
      </c>
      <c r="F15" s="27" t="str">
        <f>'종료평가용'!AJ18</f>
        <v>ND</v>
      </c>
      <c r="G15" s="29" t="str">
        <f t="shared" si="1"/>
        <v/>
      </c>
      <c r="H15" s="29" t="str">
        <f>IF('종료평가용'!AD18&lt;&gt;"☑","",IF('종료평가용'!AF18="☑",1,0.5))</f>
        <v/>
      </c>
      <c r="I15" s="29" t="str">
        <f>IF('종료평가용'!AD18&lt;&gt;"☑","",IF('종료평가용'!AE18="☑",1,0))</f>
        <v/>
      </c>
      <c r="J15" s="29" t="str">
        <f>IF('종료평가용'!AD18&lt;&gt;"☑","",IF('종료평가용'!AG18="☑",1,0))</f>
        <v/>
      </c>
      <c r="K15" s="29" t="str">
        <f>IF('종료평가용'!AD18&lt;&gt;"☑","",IF('종료평가용'!AH18="☑",1,0))</f>
        <v/>
      </c>
      <c r="L15" s="29" t="str">
        <f>IF('종료평가용'!AD18&lt;&gt;"☑","",IF('종료평가용'!AI18="☑",1,0))</f>
        <v/>
      </c>
      <c r="M15" s="29" t="str">
        <f>IF(COUNT(H15:L15)&lt;5,"",H15*'기준 설정'!$B$13+I15*'기준 설정'!$B$14+J15*'기준 설정'!$B$15+K15*'기준 설정'!$B$16+L15*'기준 설정'!$B$17)</f>
        <v/>
      </c>
      <c r="N15" s="29" t="str">
        <f t="shared" si="2"/>
        <v/>
      </c>
      <c r="O15" s="29">
        <f t="shared" si="3"/>
        <v>0</v>
      </c>
      <c r="P15" s="29">
        <f>IF(AND(ISNUMBER(G15),ISNUMBER(M15),M15&gt;='기준 설정'!$E$18),E15,0)</f>
        <v>0</v>
      </c>
      <c r="Q15" s="29">
        <f t="shared" si="4"/>
        <v>0</v>
      </c>
      <c r="R15" s="6" t="s">
        <v>191</v>
      </c>
      <c r="S15" s="41" t="str">
        <f>IF('종료평가용'!AM18="","",'종료평가용'!AM18)</f>
        <v/>
      </c>
      <c r="T15" s="19" t="s">
        <v>103</v>
      </c>
      <c r="U15" s="27" t="str">
        <f t="shared" si="5"/>
        <v>N</v>
      </c>
      <c r="V15" s="27" t="str">
        <f>'종료평가용'!AN18</f>
        <v>없음</v>
      </c>
      <c r="W15" s="27" t="str">
        <f t="shared" si="6"/>
        <v>미입증</v>
      </c>
    </row>
    <row r="16" ht="42.75" customHeight="1">
      <c r="A16" s="19" t="s">
        <v>128</v>
      </c>
      <c r="B16" s="19" t="s">
        <v>122</v>
      </c>
      <c r="C16" s="19" t="s">
        <v>193</v>
      </c>
      <c r="D16" s="6" t="s">
        <v>194</v>
      </c>
      <c r="E16" s="22">
        <v>20.0</v>
      </c>
      <c r="F16" s="27" t="str">
        <f>'종료평가용'!AJ19</f>
        <v>ND</v>
      </c>
      <c r="G16" s="29" t="str">
        <f t="shared" si="1"/>
        <v/>
      </c>
      <c r="H16" s="29" t="str">
        <f>IF('종료평가용'!AD19&lt;&gt;"☑","",IF('종료평가용'!AF19="☑",1,0.5))</f>
        <v/>
      </c>
      <c r="I16" s="29" t="str">
        <f>IF('종료평가용'!AD19&lt;&gt;"☑","",IF('종료평가용'!AE19="☑",1,0))</f>
        <v/>
      </c>
      <c r="J16" s="29" t="str">
        <f>IF('종료평가용'!AD19&lt;&gt;"☑","",IF('종료평가용'!AG19="☑",1,0))</f>
        <v/>
      </c>
      <c r="K16" s="29" t="str">
        <f>IF('종료평가용'!AD19&lt;&gt;"☑","",IF('종료평가용'!AH19="☑",1,0))</f>
        <v/>
      </c>
      <c r="L16" s="29" t="str">
        <f>IF('종료평가용'!AD19&lt;&gt;"☑","",IF('종료평가용'!AI19="☑",1,0))</f>
        <v/>
      </c>
      <c r="M16" s="29" t="str">
        <f>IF(COUNT(H16:L16)&lt;5,"",H16*'기준 설정'!$B$13+I16*'기준 설정'!$B$14+J16*'기준 설정'!$B$15+K16*'기준 설정'!$B$16+L16*'기준 설정'!$B$17)</f>
        <v/>
      </c>
      <c r="N16" s="29" t="str">
        <f t="shared" si="2"/>
        <v/>
      </c>
      <c r="O16" s="29">
        <f t="shared" si="3"/>
        <v>0</v>
      </c>
      <c r="P16" s="29">
        <f>IF(AND(ISNUMBER(G16),ISNUMBER(M16),M16&gt;='기준 설정'!$E$18),E16,0)</f>
        <v>0</v>
      </c>
      <c r="Q16" s="29">
        <f t="shared" si="4"/>
        <v>0</v>
      </c>
      <c r="R16" s="6" t="s">
        <v>204</v>
      </c>
      <c r="S16" s="41" t="str">
        <f>IF('종료평가용'!AM19="","",'종료평가용'!AM19)</f>
        <v/>
      </c>
      <c r="T16" s="19" t="s">
        <v>103</v>
      </c>
      <c r="U16" s="27" t="str">
        <f t="shared" si="5"/>
        <v>N</v>
      </c>
      <c r="V16" s="27" t="str">
        <f>'종료평가용'!AN19</f>
        <v>없음</v>
      </c>
      <c r="W16" s="27" t="str">
        <f t="shared" si="6"/>
        <v>미입증</v>
      </c>
    </row>
    <row r="17" ht="42.75" customHeight="1">
      <c r="A17" s="19" t="s">
        <v>128</v>
      </c>
      <c r="B17" s="19" t="s">
        <v>122</v>
      </c>
      <c r="C17" s="19" t="s">
        <v>205</v>
      </c>
      <c r="D17" s="6" t="s">
        <v>207</v>
      </c>
      <c r="E17" s="22">
        <v>20.0</v>
      </c>
      <c r="F17" s="27" t="str">
        <f>'종료평가용'!AJ20</f>
        <v>ND</v>
      </c>
      <c r="G17" s="29" t="str">
        <f t="shared" si="1"/>
        <v/>
      </c>
      <c r="H17" s="29" t="str">
        <f>IF('종료평가용'!AD20&lt;&gt;"☑","",IF('종료평가용'!AF20="☑",1,0.5))</f>
        <v/>
      </c>
      <c r="I17" s="29" t="str">
        <f>IF('종료평가용'!AD20&lt;&gt;"☑","",IF('종료평가용'!AE20="☑",1,0))</f>
        <v/>
      </c>
      <c r="J17" s="29" t="str">
        <f>IF('종료평가용'!AD20&lt;&gt;"☑","",IF('종료평가용'!AG20="☑",1,0))</f>
        <v/>
      </c>
      <c r="K17" s="29" t="str">
        <f>IF('종료평가용'!AD20&lt;&gt;"☑","",IF('종료평가용'!AH20="☑",1,0))</f>
        <v/>
      </c>
      <c r="L17" s="29" t="str">
        <f>IF('종료평가용'!AD20&lt;&gt;"☑","",IF('종료평가용'!AI20="☑",1,0))</f>
        <v/>
      </c>
      <c r="M17" s="29" t="str">
        <f>IF(COUNT(H17:L17)&lt;5,"",H17*'기준 설정'!$B$13+I17*'기준 설정'!$B$14+J17*'기준 설정'!$B$15+K17*'기준 설정'!$B$16+L17*'기준 설정'!$B$17)</f>
        <v/>
      </c>
      <c r="N17" s="29" t="str">
        <f t="shared" si="2"/>
        <v/>
      </c>
      <c r="O17" s="29">
        <f t="shared" si="3"/>
        <v>0</v>
      </c>
      <c r="P17" s="29">
        <f>IF(AND(ISNUMBER(G17),ISNUMBER(M17),M17&gt;='기준 설정'!$E$18),E17,0)</f>
        <v>0</v>
      </c>
      <c r="Q17" s="29">
        <f t="shared" si="4"/>
        <v>0</v>
      </c>
      <c r="R17" s="6" t="s">
        <v>218</v>
      </c>
      <c r="S17" s="41" t="str">
        <f>IF('종료평가용'!AM20="","",'종료평가용'!AM20)</f>
        <v/>
      </c>
      <c r="T17" s="19" t="s">
        <v>103</v>
      </c>
      <c r="U17" s="27" t="str">
        <f t="shared" si="5"/>
        <v>N</v>
      </c>
      <c r="V17" s="27" t="str">
        <f>'종료평가용'!AN20</f>
        <v>없음</v>
      </c>
      <c r="W17" s="27" t="str">
        <f t="shared" si="6"/>
        <v>미입증</v>
      </c>
    </row>
    <row r="18" ht="42.75" customHeight="1">
      <c r="A18" s="19" t="s">
        <v>128</v>
      </c>
      <c r="B18" s="19" t="s">
        <v>122</v>
      </c>
      <c r="C18" s="19" t="s">
        <v>220</v>
      </c>
      <c r="D18" s="6" t="s">
        <v>216</v>
      </c>
      <c r="E18" s="22">
        <v>20.0</v>
      </c>
      <c r="F18" s="27" t="str">
        <f>'종료평가용'!AJ21</f>
        <v>ND</v>
      </c>
      <c r="G18" s="29" t="str">
        <f t="shared" si="1"/>
        <v/>
      </c>
      <c r="H18" s="29" t="str">
        <f>IF('종료평가용'!AD21&lt;&gt;"☑","",IF('종료평가용'!AF21="☑",1,0.5))</f>
        <v/>
      </c>
      <c r="I18" s="29" t="str">
        <f>IF('종료평가용'!AD21&lt;&gt;"☑","",IF('종료평가용'!AE21="☑",1,0))</f>
        <v/>
      </c>
      <c r="J18" s="29" t="str">
        <f>IF('종료평가용'!AD21&lt;&gt;"☑","",IF('종료평가용'!AG21="☑",1,0))</f>
        <v/>
      </c>
      <c r="K18" s="29" t="str">
        <f>IF('종료평가용'!AD21&lt;&gt;"☑","",IF('종료평가용'!AH21="☑",1,0))</f>
        <v/>
      </c>
      <c r="L18" s="29" t="str">
        <f>IF('종료평가용'!AD21&lt;&gt;"☑","",IF('종료평가용'!AI21="☑",1,0))</f>
        <v/>
      </c>
      <c r="M18" s="29" t="str">
        <f>IF(COUNT(H18:L18)&lt;5,"",H18*'기준 설정'!$B$13+I18*'기준 설정'!$B$14+J18*'기준 설정'!$B$15+K18*'기준 설정'!$B$16+L18*'기준 설정'!$B$17)</f>
        <v/>
      </c>
      <c r="N18" s="29" t="str">
        <f t="shared" si="2"/>
        <v/>
      </c>
      <c r="O18" s="29">
        <f t="shared" si="3"/>
        <v>0</v>
      </c>
      <c r="P18" s="29">
        <f>IF(AND(ISNUMBER(G18),ISNUMBER(M18),M18&gt;='기준 설정'!$E$18),E18,0)</f>
        <v>0</v>
      </c>
      <c r="Q18" s="29">
        <f t="shared" si="4"/>
        <v>0</v>
      </c>
      <c r="R18" s="6" t="s">
        <v>238</v>
      </c>
      <c r="S18" s="41" t="str">
        <f>IF('종료평가용'!AM21="","",'종료평가용'!AM21)</f>
        <v/>
      </c>
      <c r="T18" s="19" t="s">
        <v>103</v>
      </c>
      <c r="U18" s="27" t="str">
        <f t="shared" si="5"/>
        <v>N</v>
      </c>
      <c r="V18" s="27" t="str">
        <f>'종료평가용'!AN21</f>
        <v>없음</v>
      </c>
      <c r="W18" s="27" t="str">
        <f t="shared" si="6"/>
        <v>미입증</v>
      </c>
    </row>
    <row r="19" ht="42.75" customHeight="1">
      <c r="A19" s="19" t="s">
        <v>128</v>
      </c>
      <c r="B19" s="19" t="s">
        <v>122</v>
      </c>
      <c r="C19" s="19" t="s">
        <v>241</v>
      </c>
      <c r="D19" s="6" t="s">
        <v>223</v>
      </c>
      <c r="E19" s="22">
        <v>20.0</v>
      </c>
      <c r="F19" s="27" t="str">
        <f>'종료평가용'!AJ22</f>
        <v>ND</v>
      </c>
      <c r="G19" s="29" t="str">
        <f t="shared" si="1"/>
        <v/>
      </c>
      <c r="H19" s="29" t="str">
        <f>IF('종료평가용'!AD22&lt;&gt;"☑","",IF('종료평가용'!AF22="☑",1,0.5))</f>
        <v/>
      </c>
      <c r="I19" s="29" t="str">
        <f>IF('종료평가용'!AD22&lt;&gt;"☑","",IF('종료평가용'!AE22="☑",1,0))</f>
        <v/>
      </c>
      <c r="J19" s="29" t="str">
        <f>IF('종료평가용'!AD22&lt;&gt;"☑","",IF('종료평가용'!AG22="☑",1,0))</f>
        <v/>
      </c>
      <c r="K19" s="29" t="str">
        <f>IF('종료평가용'!AD22&lt;&gt;"☑","",IF('종료평가용'!AH22="☑",1,0))</f>
        <v/>
      </c>
      <c r="L19" s="29" t="str">
        <f>IF('종료평가용'!AD22&lt;&gt;"☑","",IF('종료평가용'!AI22="☑",1,0))</f>
        <v/>
      </c>
      <c r="M19" s="29" t="str">
        <f>IF(COUNT(H19:L19)&lt;5,"",H19*'기준 설정'!$B$13+I19*'기준 설정'!$B$14+J19*'기준 설정'!$B$15+K19*'기준 설정'!$B$16+L19*'기준 설정'!$B$17)</f>
        <v/>
      </c>
      <c r="N19" s="29" t="str">
        <f t="shared" si="2"/>
        <v/>
      </c>
      <c r="O19" s="29">
        <f t="shared" si="3"/>
        <v>0</v>
      </c>
      <c r="P19" s="29">
        <f>IF(AND(ISNUMBER(G19),ISNUMBER(M19),M19&gt;='기준 설정'!$E$18),E19,0)</f>
        <v>0</v>
      </c>
      <c r="Q19" s="29">
        <f t="shared" si="4"/>
        <v>0</v>
      </c>
      <c r="R19" s="6" t="s">
        <v>258</v>
      </c>
      <c r="S19" s="41" t="str">
        <f>IF('종료평가용'!AM22="","",'종료평가용'!AM22)</f>
        <v/>
      </c>
      <c r="T19" s="19" t="s">
        <v>103</v>
      </c>
      <c r="U19" s="27" t="str">
        <f t="shared" si="5"/>
        <v>N</v>
      </c>
      <c r="V19" s="27" t="str">
        <f>'종료평가용'!AN22</f>
        <v>없음</v>
      </c>
      <c r="W19" s="27" t="str">
        <f t="shared" si="6"/>
        <v>미입증</v>
      </c>
    </row>
    <row r="20" ht="42.75" customHeight="1">
      <c r="A20" s="19" t="s">
        <v>128</v>
      </c>
      <c r="B20" s="19" t="s">
        <v>122</v>
      </c>
      <c r="C20" s="19" t="s">
        <v>259</v>
      </c>
      <c r="D20" s="6" t="s">
        <v>226</v>
      </c>
      <c r="E20" s="22">
        <v>20.0</v>
      </c>
      <c r="F20" s="27" t="str">
        <f>'종료평가용'!AJ23</f>
        <v>ND</v>
      </c>
      <c r="G20" s="29" t="str">
        <f t="shared" si="1"/>
        <v/>
      </c>
      <c r="H20" s="29" t="str">
        <f>IF('종료평가용'!AD23&lt;&gt;"☑","",IF('종료평가용'!AF23="☑",1,0.5))</f>
        <v/>
      </c>
      <c r="I20" s="29" t="str">
        <f>IF('종료평가용'!AD23&lt;&gt;"☑","",IF('종료평가용'!AE23="☑",1,0))</f>
        <v/>
      </c>
      <c r="J20" s="29" t="str">
        <f>IF('종료평가용'!AD23&lt;&gt;"☑","",IF('종료평가용'!AG23="☑",1,0))</f>
        <v/>
      </c>
      <c r="K20" s="29" t="str">
        <f>IF('종료평가용'!AD23&lt;&gt;"☑","",IF('종료평가용'!AH23="☑",1,0))</f>
        <v/>
      </c>
      <c r="L20" s="29" t="str">
        <f>IF('종료평가용'!AD23&lt;&gt;"☑","",IF('종료평가용'!AI23="☑",1,0))</f>
        <v/>
      </c>
      <c r="M20" s="29" t="str">
        <f>IF(COUNT(H20:L20)&lt;5,"",H20*'기준 설정'!$B$13+I20*'기준 설정'!$B$14+J20*'기준 설정'!$B$15+K20*'기준 설정'!$B$16+L20*'기준 설정'!$B$17)</f>
        <v/>
      </c>
      <c r="N20" s="29" t="str">
        <f t="shared" si="2"/>
        <v/>
      </c>
      <c r="O20" s="29">
        <f t="shared" si="3"/>
        <v>0</v>
      </c>
      <c r="P20" s="29">
        <f>IF(AND(ISNUMBER(G20),ISNUMBER(M20),M20&gt;='기준 설정'!$E$18),E20,0)</f>
        <v>0</v>
      </c>
      <c r="Q20" s="29">
        <f t="shared" si="4"/>
        <v>0</v>
      </c>
      <c r="R20" s="6" t="s">
        <v>267</v>
      </c>
      <c r="S20" s="41" t="str">
        <f>IF('종료평가용'!AM23="","",'종료평가용'!AM23)</f>
        <v/>
      </c>
      <c r="T20" s="19" t="s">
        <v>103</v>
      </c>
      <c r="U20" s="27" t="str">
        <f t="shared" si="5"/>
        <v>N</v>
      </c>
      <c r="V20" s="27" t="str">
        <f>'종료평가용'!AN23</f>
        <v>없음</v>
      </c>
      <c r="W20" s="27" t="str">
        <f t="shared" si="6"/>
        <v>미입증</v>
      </c>
    </row>
    <row r="21" ht="42.75" customHeight="1">
      <c r="A21" s="19" t="s">
        <v>128</v>
      </c>
      <c r="B21" s="19" t="s">
        <v>134</v>
      </c>
      <c r="C21" s="19" t="s">
        <v>270</v>
      </c>
      <c r="D21" s="6" t="s">
        <v>229</v>
      </c>
      <c r="E21" s="22">
        <v>20.0</v>
      </c>
      <c r="F21" s="27" t="str">
        <f>'종료평가용'!AJ24</f>
        <v>ND</v>
      </c>
      <c r="G21" s="29" t="str">
        <f t="shared" si="1"/>
        <v/>
      </c>
      <c r="H21" s="29" t="str">
        <f>IF('종료평가용'!AD24&lt;&gt;"☑","",IF('종료평가용'!AF24="☑",1,0.5))</f>
        <v/>
      </c>
      <c r="I21" s="29" t="str">
        <f>IF('종료평가용'!AD24&lt;&gt;"☑","",IF('종료평가용'!AE24="☑",1,0))</f>
        <v/>
      </c>
      <c r="J21" s="29" t="str">
        <f>IF('종료평가용'!AD24&lt;&gt;"☑","",IF('종료평가용'!AG24="☑",1,0))</f>
        <v/>
      </c>
      <c r="K21" s="29" t="str">
        <f>IF('종료평가용'!AD24&lt;&gt;"☑","",IF('종료평가용'!AH24="☑",1,0))</f>
        <v/>
      </c>
      <c r="L21" s="29" t="str">
        <f>IF('종료평가용'!AD24&lt;&gt;"☑","",IF('종료평가용'!AI24="☑",1,0))</f>
        <v/>
      </c>
      <c r="M21" s="29" t="str">
        <f>IF(COUNT(H21:L21)&lt;5,"",H21*'기준 설정'!$B$13+I21*'기준 설정'!$B$14+J21*'기준 설정'!$B$15+K21*'기준 설정'!$B$16+L21*'기준 설정'!$B$17)</f>
        <v/>
      </c>
      <c r="N21" s="29" t="str">
        <f t="shared" si="2"/>
        <v/>
      </c>
      <c r="O21" s="29">
        <f t="shared" si="3"/>
        <v>0</v>
      </c>
      <c r="P21" s="29">
        <f>IF(AND(ISNUMBER(G21),ISNUMBER(M21),M21&gt;='기준 설정'!$E$18),E21,0)</f>
        <v>0</v>
      </c>
      <c r="Q21" s="29">
        <f t="shared" si="4"/>
        <v>0</v>
      </c>
      <c r="R21" s="6" t="s">
        <v>287</v>
      </c>
      <c r="S21" s="41" t="str">
        <f>IF('종료평가용'!AM24="","",'종료평가용'!AM24)</f>
        <v/>
      </c>
      <c r="T21" s="19" t="s">
        <v>103</v>
      </c>
      <c r="U21" s="27" t="str">
        <f t="shared" si="5"/>
        <v>N</v>
      </c>
      <c r="V21" s="27" t="str">
        <f>'종료평가용'!AN24</f>
        <v>없음</v>
      </c>
      <c r="W21" s="27" t="str">
        <f t="shared" si="6"/>
        <v>미입증</v>
      </c>
    </row>
    <row r="22" ht="42.75" customHeight="1">
      <c r="A22" s="19" t="s">
        <v>128</v>
      </c>
      <c r="B22" s="19" t="s">
        <v>134</v>
      </c>
      <c r="C22" s="19" t="s">
        <v>290</v>
      </c>
      <c r="D22" s="6" t="s">
        <v>235</v>
      </c>
      <c r="E22" s="22">
        <v>20.0</v>
      </c>
      <c r="F22" s="27" t="str">
        <f>'종료평가용'!AJ25</f>
        <v>ND</v>
      </c>
      <c r="G22" s="29" t="str">
        <f t="shared" si="1"/>
        <v/>
      </c>
      <c r="H22" s="29" t="str">
        <f>IF('종료평가용'!AD25&lt;&gt;"☑","",IF('종료평가용'!AF25="☑",1,0.5))</f>
        <v/>
      </c>
      <c r="I22" s="29" t="str">
        <f>IF('종료평가용'!AD25&lt;&gt;"☑","",IF('종료평가용'!AE25="☑",1,0))</f>
        <v/>
      </c>
      <c r="J22" s="29" t="str">
        <f>IF('종료평가용'!AD25&lt;&gt;"☑","",IF('종료평가용'!AG25="☑",1,0))</f>
        <v/>
      </c>
      <c r="K22" s="29" t="str">
        <f>IF('종료평가용'!AD25&lt;&gt;"☑","",IF('종료평가용'!AH25="☑",1,0))</f>
        <v/>
      </c>
      <c r="L22" s="29" t="str">
        <f>IF('종료평가용'!AD25&lt;&gt;"☑","",IF('종료평가용'!AI25="☑",1,0))</f>
        <v/>
      </c>
      <c r="M22" s="29" t="str">
        <f>IF(COUNT(H22:L22)&lt;5,"",H22*'기준 설정'!$B$13+I22*'기준 설정'!$B$14+J22*'기준 설정'!$B$15+K22*'기준 설정'!$B$16+L22*'기준 설정'!$B$17)</f>
        <v/>
      </c>
      <c r="N22" s="29" t="str">
        <f t="shared" si="2"/>
        <v/>
      </c>
      <c r="O22" s="29">
        <f t="shared" si="3"/>
        <v>0</v>
      </c>
      <c r="P22" s="29">
        <f>IF(AND(ISNUMBER(G22),ISNUMBER(M22),M22&gt;='기준 설정'!$E$18),E22,0)</f>
        <v>0</v>
      </c>
      <c r="Q22" s="29">
        <f t="shared" si="4"/>
        <v>0</v>
      </c>
      <c r="R22" s="6" t="s">
        <v>307</v>
      </c>
      <c r="S22" s="41" t="str">
        <f>IF('종료평가용'!AM25="","",'종료평가용'!AM25)</f>
        <v/>
      </c>
      <c r="T22" s="19" t="s">
        <v>103</v>
      </c>
      <c r="U22" s="27" t="str">
        <f t="shared" si="5"/>
        <v>N</v>
      </c>
      <c r="V22" s="27" t="str">
        <f>'종료평가용'!AN25</f>
        <v>없음</v>
      </c>
      <c r="W22" s="27" t="str">
        <f t="shared" si="6"/>
        <v>미입증</v>
      </c>
    </row>
    <row r="23" ht="42.75" customHeight="1">
      <c r="A23" s="19" t="s">
        <v>128</v>
      </c>
      <c r="B23" s="19" t="s">
        <v>134</v>
      </c>
      <c r="C23" s="19" t="s">
        <v>309</v>
      </c>
      <c r="D23" s="6" t="s">
        <v>239</v>
      </c>
      <c r="E23" s="22">
        <v>20.0</v>
      </c>
      <c r="F23" s="27" t="str">
        <f>'종료평가용'!AJ26</f>
        <v>ND</v>
      </c>
      <c r="G23" s="29" t="str">
        <f t="shared" si="1"/>
        <v/>
      </c>
      <c r="H23" s="29" t="str">
        <f>IF('종료평가용'!AD26&lt;&gt;"☑","",IF('종료평가용'!AF26="☑",1,0.5))</f>
        <v/>
      </c>
      <c r="I23" s="29" t="str">
        <f>IF('종료평가용'!AD26&lt;&gt;"☑","",IF('종료평가용'!AE26="☑",1,0))</f>
        <v/>
      </c>
      <c r="J23" s="29" t="str">
        <f>IF('종료평가용'!AD26&lt;&gt;"☑","",IF('종료평가용'!AG26="☑",1,0))</f>
        <v/>
      </c>
      <c r="K23" s="29" t="str">
        <f>IF('종료평가용'!AD26&lt;&gt;"☑","",IF('종료평가용'!AH26="☑",1,0))</f>
        <v/>
      </c>
      <c r="L23" s="29" t="str">
        <f>IF('종료평가용'!AD26&lt;&gt;"☑","",IF('종료평가용'!AI26="☑",1,0))</f>
        <v/>
      </c>
      <c r="M23" s="29" t="str">
        <f>IF(COUNT(H23:L23)&lt;5,"",H23*'기준 설정'!$B$13+I23*'기준 설정'!$B$14+J23*'기준 설정'!$B$15+K23*'기준 설정'!$B$16+L23*'기준 설정'!$B$17)</f>
        <v/>
      </c>
      <c r="N23" s="29" t="str">
        <f t="shared" si="2"/>
        <v/>
      </c>
      <c r="O23" s="29">
        <f t="shared" si="3"/>
        <v>0</v>
      </c>
      <c r="P23" s="29">
        <f>IF(AND(ISNUMBER(G23),ISNUMBER(M23),M23&gt;='기준 설정'!$E$18),E23,0)</f>
        <v>0</v>
      </c>
      <c r="Q23" s="29">
        <f t="shared" si="4"/>
        <v>0</v>
      </c>
      <c r="R23" s="6" t="s">
        <v>319</v>
      </c>
      <c r="S23" s="41" t="str">
        <f>IF('종료평가용'!AM26="","",'종료평가용'!AM26)</f>
        <v/>
      </c>
      <c r="T23" s="19" t="s">
        <v>103</v>
      </c>
      <c r="U23" s="27" t="str">
        <f t="shared" si="5"/>
        <v>N</v>
      </c>
      <c r="V23" s="27" t="str">
        <f>'종료평가용'!AN26</f>
        <v>없음</v>
      </c>
      <c r="W23" s="27" t="str">
        <f t="shared" si="6"/>
        <v>미입증</v>
      </c>
    </row>
    <row r="24" ht="42.75" customHeight="1">
      <c r="A24" s="19" t="s">
        <v>128</v>
      </c>
      <c r="B24" s="19" t="s">
        <v>134</v>
      </c>
      <c r="C24" s="19" t="s">
        <v>321</v>
      </c>
      <c r="D24" s="6" t="s">
        <v>246</v>
      </c>
      <c r="E24" s="22">
        <v>20.0</v>
      </c>
      <c r="F24" s="27" t="str">
        <f>'종료평가용'!AJ27</f>
        <v>ND</v>
      </c>
      <c r="G24" s="29" t="str">
        <f t="shared" si="1"/>
        <v/>
      </c>
      <c r="H24" s="29" t="str">
        <f>IF('종료평가용'!AD27&lt;&gt;"☑","",IF('종료평가용'!AF27="☑",1,0.5))</f>
        <v/>
      </c>
      <c r="I24" s="29" t="str">
        <f>IF('종료평가용'!AD27&lt;&gt;"☑","",IF('종료평가용'!AE27="☑",1,0))</f>
        <v/>
      </c>
      <c r="J24" s="29" t="str">
        <f>IF('종료평가용'!AD27&lt;&gt;"☑","",IF('종료평가용'!AG27="☑",1,0))</f>
        <v/>
      </c>
      <c r="K24" s="29" t="str">
        <f>IF('종료평가용'!AD27&lt;&gt;"☑","",IF('종료평가용'!AH27="☑",1,0))</f>
        <v/>
      </c>
      <c r="L24" s="29" t="str">
        <f>IF('종료평가용'!AD27&lt;&gt;"☑","",IF('종료평가용'!AI27="☑",1,0))</f>
        <v/>
      </c>
      <c r="M24" s="29" t="str">
        <f>IF(COUNT(H24:L24)&lt;5,"",H24*'기준 설정'!$B$13+I24*'기준 설정'!$B$14+J24*'기준 설정'!$B$15+K24*'기준 설정'!$B$16+L24*'기준 설정'!$B$17)</f>
        <v/>
      </c>
      <c r="N24" s="29" t="str">
        <f t="shared" si="2"/>
        <v/>
      </c>
      <c r="O24" s="29">
        <f t="shared" si="3"/>
        <v>0</v>
      </c>
      <c r="P24" s="29">
        <f>IF(AND(ISNUMBER(G24),ISNUMBER(M24),M24&gt;='기준 설정'!$E$18),E24,0)</f>
        <v>0</v>
      </c>
      <c r="Q24" s="29">
        <f t="shared" si="4"/>
        <v>0</v>
      </c>
      <c r="R24" s="6" t="s">
        <v>344</v>
      </c>
      <c r="S24" s="41" t="str">
        <f>IF('종료평가용'!AM27="","",'종료평가용'!AM27)</f>
        <v/>
      </c>
      <c r="T24" s="19" t="s">
        <v>103</v>
      </c>
      <c r="U24" s="27" t="str">
        <f t="shared" si="5"/>
        <v>N</v>
      </c>
      <c r="V24" s="27" t="str">
        <f>'종료평가용'!AN27</f>
        <v>없음</v>
      </c>
      <c r="W24" s="27" t="str">
        <f t="shared" si="6"/>
        <v>미입증</v>
      </c>
    </row>
    <row r="25" ht="42.75" customHeight="1">
      <c r="A25" s="19" t="s">
        <v>128</v>
      </c>
      <c r="B25" s="19" t="s">
        <v>134</v>
      </c>
      <c r="C25" s="19" t="s">
        <v>355</v>
      </c>
      <c r="D25" s="6" t="s">
        <v>250</v>
      </c>
      <c r="E25" s="22">
        <v>20.0</v>
      </c>
      <c r="F25" s="27" t="str">
        <f>'종료평가용'!AJ28</f>
        <v>ND</v>
      </c>
      <c r="G25" s="29" t="str">
        <f t="shared" si="1"/>
        <v/>
      </c>
      <c r="H25" s="29" t="str">
        <f>IF('종료평가용'!AD28&lt;&gt;"☑","",IF('종료평가용'!AF28="☑",1,0.5))</f>
        <v/>
      </c>
      <c r="I25" s="29" t="str">
        <f>IF('종료평가용'!AD28&lt;&gt;"☑","",IF('종료평가용'!AE28="☑",1,0))</f>
        <v/>
      </c>
      <c r="J25" s="29" t="str">
        <f>IF('종료평가용'!AD28&lt;&gt;"☑","",IF('종료평가용'!AG28="☑",1,0))</f>
        <v/>
      </c>
      <c r="K25" s="29" t="str">
        <f>IF('종료평가용'!AD28&lt;&gt;"☑","",IF('종료평가용'!AH28="☑",1,0))</f>
        <v/>
      </c>
      <c r="L25" s="29" t="str">
        <f>IF('종료평가용'!AD28&lt;&gt;"☑","",IF('종료평가용'!AI28="☑",1,0))</f>
        <v/>
      </c>
      <c r="M25" s="29" t="str">
        <f>IF(COUNT(H25:L25)&lt;5,"",H25*'기준 설정'!$B$13+I25*'기준 설정'!$B$14+J25*'기준 설정'!$B$15+K25*'기준 설정'!$B$16+L25*'기준 설정'!$B$17)</f>
        <v/>
      </c>
      <c r="N25" s="29" t="str">
        <f t="shared" si="2"/>
        <v/>
      </c>
      <c r="O25" s="29">
        <f t="shared" si="3"/>
        <v>0</v>
      </c>
      <c r="P25" s="29">
        <f>IF(AND(ISNUMBER(G25),ISNUMBER(M25),M25&gt;='기준 설정'!$E$18),E25,0)</f>
        <v>0</v>
      </c>
      <c r="Q25" s="29">
        <f t="shared" si="4"/>
        <v>0</v>
      </c>
      <c r="R25" s="6" t="s">
        <v>385</v>
      </c>
      <c r="S25" s="41" t="str">
        <f>IF('종료평가용'!AM28="","",'종료평가용'!AM28)</f>
        <v/>
      </c>
      <c r="T25" s="19" t="s">
        <v>103</v>
      </c>
      <c r="U25" s="27" t="str">
        <f t="shared" si="5"/>
        <v>N</v>
      </c>
      <c r="V25" s="27" t="str">
        <f>'종료평가용'!AN28</f>
        <v>없음</v>
      </c>
      <c r="W25" s="27" t="str">
        <f t="shared" si="6"/>
        <v>미입증</v>
      </c>
    </row>
    <row r="26" ht="42.75" customHeight="1">
      <c r="A26" s="19" t="s">
        <v>171</v>
      </c>
      <c r="B26" s="19" t="s">
        <v>146</v>
      </c>
      <c r="C26" s="19" t="s">
        <v>391</v>
      </c>
      <c r="D26" s="6" t="s">
        <v>255</v>
      </c>
      <c r="E26" s="22">
        <v>20.0</v>
      </c>
      <c r="F26" s="27" t="str">
        <f>'종료평가용'!AJ29</f>
        <v>ND</v>
      </c>
      <c r="G26" s="29" t="str">
        <f t="shared" si="1"/>
        <v/>
      </c>
      <c r="H26" s="29" t="str">
        <f>IF('종료평가용'!AD29&lt;&gt;"☑","",IF('종료평가용'!AF29="☑",1,0.5))</f>
        <v/>
      </c>
      <c r="I26" s="29" t="str">
        <f>IF('종료평가용'!AD29&lt;&gt;"☑","",IF('종료평가용'!AE29="☑",1,0))</f>
        <v/>
      </c>
      <c r="J26" s="29" t="str">
        <f>IF('종료평가용'!AD29&lt;&gt;"☑","",IF('종료평가용'!AG29="☑",1,0))</f>
        <v/>
      </c>
      <c r="K26" s="29" t="str">
        <f>IF('종료평가용'!AD29&lt;&gt;"☑","",IF('종료평가용'!AH29="☑",1,0))</f>
        <v/>
      </c>
      <c r="L26" s="29" t="str">
        <f>IF('종료평가용'!AD29&lt;&gt;"☑","",IF('종료평가용'!AI29="☑",1,0))</f>
        <v/>
      </c>
      <c r="M26" s="29" t="str">
        <f>IF(COUNT(H26:L26)&lt;5,"",H26*'기준 설정'!$B$13+I26*'기준 설정'!$B$14+J26*'기준 설정'!$B$15+K26*'기준 설정'!$B$16+L26*'기준 설정'!$B$17)</f>
        <v/>
      </c>
      <c r="N26" s="29" t="str">
        <f t="shared" si="2"/>
        <v/>
      </c>
      <c r="O26" s="29">
        <f t="shared" si="3"/>
        <v>0</v>
      </c>
      <c r="P26" s="29">
        <f>IF(AND(ISNUMBER(G26),ISNUMBER(M26),M26&gt;='기준 설정'!$E$18),E26,0)</f>
        <v>0</v>
      </c>
      <c r="Q26" s="29">
        <f t="shared" si="4"/>
        <v>0</v>
      </c>
      <c r="R26" s="6" t="s">
        <v>401</v>
      </c>
      <c r="S26" s="41" t="str">
        <f>IF('종료평가용'!AM29="","",'종료평가용'!AM29)</f>
        <v/>
      </c>
      <c r="T26" s="19" t="s">
        <v>103</v>
      </c>
      <c r="U26" s="27" t="str">
        <f t="shared" si="5"/>
        <v>N</v>
      </c>
      <c r="V26" s="27" t="str">
        <f>'종료평가용'!AN29</f>
        <v>없음</v>
      </c>
      <c r="W26" s="27" t="str">
        <f t="shared" si="6"/>
        <v>미입증</v>
      </c>
    </row>
    <row r="27" ht="42.75" customHeight="1">
      <c r="A27" s="19" t="s">
        <v>171</v>
      </c>
      <c r="B27" s="19" t="s">
        <v>146</v>
      </c>
      <c r="C27" s="19" t="s">
        <v>402</v>
      </c>
      <c r="D27" s="6" t="s">
        <v>262</v>
      </c>
      <c r="E27" s="22">
        <v>20.0</v>
      </c>
      <c r="F27" s="27" t="str">
        <f>'종료평가용'!AJ30</f>
        <v>ND</v>
      </c>
      <c r="G27" s="29" t="str">
        <f t="shared" si="1"/>
        <v/>
      </c>
      <c r="H27" s="29" t="str">
        <f>IF('종료평가용'!AD30&lt;&gt;"☑","",IF('종료평가용'!AF30="☑",1,0.5))</f>
        <v/>
      </c>
      <c r="I27" s="29" t="str">
        <f>IF('종료평가용'!AD30&lt;&gt;"☑","",IF('종료평가용'!AE30="☑",1,0))</f>
        <v/>
      </c>
      <c r="J27" s="29" t="str">
        <f>IF('종료평가용'!AD30&lt;&gt;"☑","",IF('종료평가용'!AG30="☑",1,0))</f>
        <v/>
      </c>
      <c r="K27" s="29" t="str">
        <f>IF('종료평가용'!AD30&lt;&gt;"☑","",IF('종료평가용'!AH30="☑",1,0))</f>
        <v/>
      </c>
      <c r="L27" s="29" t="str">
        <f>IF('종료평가용'!AD30&lt;&gt;"☑","",IF('종료평가용'!AI30="☑",1,0))</f>
        <v/>
      </c>
      <c r="M27" s="29" t="str">
        <f>IF(COUNT(H27:L27)&lt;5,"",H27*'기준 설정'!$B$13+I27*'기준 설정'!$B$14+J27*'기준 설정'!$B$15+K27*'기준 설정'!$B$16+L27*'기준 설정'!$B$17)</f>
        <v/>
      </c>
      <c r="N27" s="29" t="str">
        <f t="shared" si="2"/>
        <v/>
      </c>
      <c r="O27" s="29">
        <f t="shared" si="3"/>
        <v>0</v>
      </c>
      <c r="P27" s="29">
        <f>IF(AND(ISNUMBER(G27),ISNUMBER(M27),M27&gt;='기준 설정'!$E$18),E27,0)</f>
        <v>0</v>
      </c>
      <c r="Q27" s="29">
        <f t="shared" si="4"/>
        <v>0</v>
      </c>
      <c r="R27" s="6" t="s">
        <v>407</v>
      </c>
      <c r="S27" s="41" t="str">
        <f>IF('종료평가용'!AM30="","",'종료평가용'!AM30)</f>
        <v/>
      </c>
      <c r="T27" s="19" t="s">
        <v>103</v>
      </c>
      <c r="U27" s="27" t="str">
        <f t="shared" si="5"/>
        <v>N</v>
      </c>
      <c r="V27" s="27" t="str">
        <f>'종료평가용'!AN30</f>
        <v>없음</v>
      </c>
      <c r="W27" s="27" t="str">
        <f t="shared" si="6"/>
        <v>미입증</v>
      </c>
    </row>
    <row r="28" ht="42.75" customHeight="1">
      <c r="A28" s="19" t="s">
        <v>171</v>
      </c>
      <c r="B28" s="19" t="s">
        <v>146</v>
      </c>
      <c r="C28" s="19" t="s">
        <v>410</v>
      </c>
      <c r="D28" s="6" t="s">
        <v>268</v>
      </c>
      <c r="E28" s="22">
        <v>20.0</v>
      </c>
      <c r="F28" s="27" t="str">
        <f>'종료평가용'!AJ31</f>
        <v>ND</v>
      </c>
      <c r="G28" s="29" t="str">
        <f t="shared" si="1"/>
        <v/>
      </c>
      <c r="H28" s="29" t="str">
        <f>IF('종료평가용'!AD31&lt;&gt;"☑","",IF('종료평가용'!AF31="☑",1,0.5))</f>
        <v/>
      </c>
      <c r="I28" s="29" t="str">
        <f>IF('종료평가용'!AD31&lt;&gt;"☑","",IF('종료평가용'!AE31="☑",1,0))</f>
        <v/>
      </c>
      <c r="J28" s="29" t="str">
        <f>IF('종료평가용'!AD31&lt;&gt;"☑","",IF('종료평가용'!AG31="☑",1,0))</f>
        <v/>
      </c>
      <c r="K28" s="29" t="str">
        <f>IF('종료평가용'!AD31&lt;&gt;"☑","",IF('종료평가용'!AH31="☑",1,0))</f>
        <v/>
      </c>
      <c r="L28" s="29" t="str">
        <f>IF('종료평가용'!AD31&lt;&gt;"☑","",IF('종료평가용'!AI31="☑",1,0))</f>
        <v/>
      </c>
      <c r="M28" s="29" t="str">
        <f>IF(COUNT(H28:L28)&lt;5,"",H28*'기준 설정'!$B$13+I28*'기준 설정'!$B$14+J28*'기준 설정'!$B$15+K28*'기준 설정'!$B$16+L28*'기준 설정'!$B$17)</f>
        <v/>
      </c>
      <c r="N28" s="29" t="str">
        <f t="shared" si="2"/>
        <v/>
      </c>
      <c r="O28" s="29">
        <f t="shared" si="3"/>
        <v>0</v>
      </c>
      <c r="P28" s="29">
        <f>IF(AND(ISNUMBER(G28),ISNUMBER(M28),M28&gt;='기준 설정'!$E$18),E28,0)</f>
        <v>0</v>
      </c>
      <c r="Q28" s="29">
        <f t="shared" si="4"/>
        <v>0</v>
      </c>
      <c r="R28" s="6" t="s">
        <v>417</v>
      </c>
      <c r="S28" s="41" t="str">
        <f>IF('종료평가용'!AM31="","",'종료평가용'!AM31)</f>
        <v/>
      </c>
      <c r="T28" s="19" t="s">
        <v>103</v>
      </c>
      <c r="U28" s="27" t="str">
        <f t="shared" si="5"/>
        <v>N</v>
      </c>
      <c r="V28" s="27" t="str">
        <f>'종료평가용'!AN31</f>
        <v>없음</v>
      </c>
      <c r="W28" s="27" t="str">
        <f t="shared" si="6"/>
        <v>미입증</v>
      </c>
    </row>
    <row r="29" ht="42.75" customHeight="1">
      <c r="A29" s="19" t="s">
        <v>171</v>
      </c>
      <c r="B29" s="19" t="s">
        <v>146</v>
      </c>
      <c r="C29" s="19" t="s">
        <v>420</v>
      </c>
      <c r="D29" s="6" t="s">
        <v>273</v>
      </c>
      <c r="E29" s="22">
        <v>20.0</v>
      </c>
      <c r="F29" s="27" t="str">
        <f>'종료평가용'!AJ32</f>
        <v>ND</v>
      </c>
      <c r="G29" s="29" t="str">
        <f t="shared" si="1"/>
        <v/>
      </c>
      <c r="H29" s="29" t="str">
        <f>IF('종료평가용'!AD32&lt;&gt;"☑","",IF('종료평가용'!AF32="☑",1,0.5))</f>
        <v/>
      </c>
      <c r="I29" s="29" t="str">
        <f>IF('종료평가용'!AD32&lt;&gt;"☑","",IF('종료평가용'!AE32="☑",1,0))</f>
        <v/>
      </c>
      <c r="J29" s="29" t="str">
        <f>IF('종료평가용'!AD32&lt;&gt;"☑","",IF('종료평가용'!AG32="☑",1,0))</f>
        <v/>
      </c>
      <c r="K29" s="29" t="str">
        <f>IF('종료평가용'!AD32&lt;&gt;"☑","",IF('종료평가용'!AH32="☑",1,0))</f>
        <v/>
      </c>
      <c r="L29" s="29" t="str">
        <f>IF('종료평가용'!AD32&lt;&gt;"☑","",IF('종료평가용'!AI32="☑",1,0))</f>
        <v/>
      </c>
      <c r="M29" s="29" t="str">
        <f>IF(COUNT(H29:L29)&lt;5,"",H29*'기준 설정'!$B$13+I29*'기준 설정'!$B$14+J29*'기준 설정'!$B$15+K29*'기준 설정'!$B$16+L29*'기준 설정'!$B$17)</f>
        <v/>
      </c>
      <c r="N29" s="29" t="str">
        <f t="shared" si="2"/>
        <v/>
      </c>
      <c r="O29" s="29">
        <f t="shared" si="3"/>
        <v>0</v>
      </c>
      <c r="P29" s="29">
        <f>IF(AND(ISNUMBER(G29),ISNUMBER(M29),M29&gt;='기준 설정'!$E$18),E29,0)</f>
        <v>0</v>
      </c>
      <c r="Q29" s="29">
        <f t="shared" si="4"/>
        <v>0</v>
      </c>
      <c r="R29" s="6" t="s">
        <v>432</v>
      </c>
      <c r="S29" s="41" t="str">
        <f>IF('종료평가용'!AM32="","",'종료평가용'!AM32)</f>
        <v/>
      </c>
      <c r="T29" s="19" t="s">
        <v>103</v>
      </c>
      <c r="U29" s="27" t="str">
        <f t="shared" si="5"/>
        <v>N</v>
      </c>
      <c r="V29" s="27" t="str">
        <f>'종료평가용'!AN32</f>
        <v>없음</v>
      </c>
      <c r="W29" s="27" t="str">
        <f t="shared" si="6"/>
        <v>미입증</v>
      </c>
    </row>
    <row r="30" ht="42.75" customHeight="1">
      <c r="A30" s="19" t="s">
        <v>171</v>
      </c>
      <c r="B30" s="19" t="s">
        <v>146</v>
      </c>
      <c r="C30" s="19" t="s">
        <v>438</v>
      </c>
      <c r="D30" s="6" t="s">
        <v>278</v>
      </c>
      <c r="E30" s="22">
        <v>20.0</v>
      </c>
      <c r="F30" s="27" t="str">
        <f>'종료평가용'!AJ33</f>
        <v>ND</v>
      </c>
      <c r="G30" s="29" t="str">
        <f t="shared" si="1"/>
        <v/>
      </c>
      <c r="H30" s="29" t="str">
        <f>IF('종료평가용'!AD33&lt;&gt;"☑","",IF('종료평가용'!AF33="☑",1,0.5))</f>
        <v/>
      </c>
      <c r="I30" s="29" t="str">
        <f>IF('종료평가용'!AD33&lt;&gt;"☑","",IF('종료평가용'!AE33="☑",1,0))</f>
        <v/>
      </c>
      <c r="J30" s="29" t="str">
        <f>IF('종료평가용'!AD33&lt;&gt;"☑","",IF('종료평가용'!AG33="☑",1,0))</f>
        <v/>
      </c>
      <c r="K30" s="29" t="str">
        <f>IF('종료평가용'!AD33&lt;&gt;"☑","",IF('종료평가용'!AH33="☑",1,0))</f>
        <v/>
      </c>
      <c r="L30" s="29" t="str">
        <f>IF('종료평가용'!AD33&lt;&gt;"☑","",IF('종료평가용'!AI33="☑",1,0))</f>
        <v/>
      </c>
      <c r="M30" s="29" t="str">
        <f>IF(COUNT(H30:L30)&lt;5,"",H30*'기준 설정'!$B$13+I30*'기준 설정'!$B$14+J30*'기준 설정'!$B$15+K30*'기준 설정'!$B$16+L30*'기준 설정'!$B$17)</f>
        <v/>
      </c>
      <c r="N30" s="29" t="str">
        <f t="shared" si="2"/>
        <v/>
      </c>
      <c r="O30" s="29">
        <f t="shared" si="3"/>
        <v>0</v>
      </c>
      <c r="P30" s="29">
        <f>IF(AND(ISNUMBER(G30),ISNUMBER(M30),M30&gt;='기준 설정'!$E$18),E30,0)</f>
        <v>0</v>
      </c>
      <c r="Q30" s="29">
        <f t="shared" si="4"/>
        <v>0</v>
      </c>
      <c r="R30" s="6" t="s">
        <v>451</v>
      </c>
      <c r="S30" s="41" t="str">
        <f>IF('종료평가용'!AM33="","",'종료평가용'!AM33)</f>
        <v/>
      </c>
      <c r="T30" s="19" t="s">
        <v>103</v>
      </c>
      <c r="U30" s="27" t="str">
        <f t="shared" si="5"/>
        <v>N</v>
      </c>
      <c r="V30" s="27" t="str">
        <f>'종료평가용'!AN33</f>
        <v>없음</v>
      </c>
      <c r="W30" s="27" t="str">
        <f t="shared" si="6"/>
        <v>미입증</v>
      </c>
    </row>
    <row r="31" ht="42.75" customHeight="1">
      <c r="A31" s="19" t="s">
        <v>171</v>
      </c>
      <c r="B31" s="19" t="s">
        <v>158</v>
      </c>
      <c r="C31" s="19" t="s">
        <v>465</v>
      </c>
      <c r="D31" s="6" t="s">
        <v>284</v>
      </c>
      <c r="E31" s="22">
        <v>20.0</v>
      </c>
      <c r="F31" s="27" t="str">
        <f>'종료평가용'!AJ34</f>
        <v>ND</v>
      </c>
      <c r="G31" s="29" t="str">
        <f t="shared" si="1"/>
        <v/>
      </c>
      <c r="H31" s="29" t="str">
        <f>IF('종료평가용'!AD34&lt;&gt;"☑","",IF('종료평가용'!AF34="☑",1,0.5))</f>
        <v/>
      </c>
      <c r="I31" s="29" t="str">
        <f>IF('종료평가용'!AD34&lt;&gt;"☑","",IF('종료평가용'!AE34="☑",1,0))</f>
        <v/>
      </c>
      <c r="J31" s="29" t="str">
        <f>IF('종료평가용'!AD34&lt;&gt;"☑","",IF('종료평가용'!AG34="☑",1,0))</f>
        <v/>
      </c>
      <c r="K31" s="29" t="str">
        <f>IF('종료평가용'!AD34&lt;&gt;"☑","",IF('종료평가용'!AH34="☑",1,0))</f>
        <v/>
      </c>
      <c r="L31" s="29" t="str">
        <f>IF('종료평가용'!AD34&lt;&gt;"☑","",IF('종료평가용'!AI34="☑",1,0))</f>
        <v/>
      </c>
      <c r="M31" s="29" t="str">
        <f>IF(COUNT(H31:L31)&lt;5,"",H31*'기준 설정'!$B$13+I31*'기준 설정'!$B$14+J31*'기준 설정'!$B$15+K31*'기준 설정'!$B$16+L31*'기준 설정'!$B$17)</f>
        <v/>
      </c>
      <c r="N31" s="29" t="str">
        <f t="shared" si="2"/>
        <v/>
      </c>
      <c r="O31" s="29">
        <f t="shared" si="3"/>
        <v>0</v>
      </c>
      <c r="P31" s="29">
        <f>IF(AND(ISNUMBER(G31),ISNUMBER(M31),M31&gt;='기준 설정'!$E$18),E31,0)</f>
        <v>0</v>
      </c>
      <c r="Q31" s="29">
        <f t="shared" si="4"/>
        <v>0</v>
      </c>
      <c r="R31" s="6" t="s">
        <v>514</v>
      </c>
      <c r="S31" s="41" t="str">
        <f>IF('종료평가용'!AM34="","",'종료평가용'!AM34)</f>
        <v/>
      </c>
      <c r="T31" s="19" t="s">
        <v>103</v>
      </c>
      <c r="U31" s="27" t="str">
        <f t="shared" si="5"/>
        <v>N</v>
      </c>
      <c r="V31" s="27" t="str">
        <f>'종료평가용'!AN34</f>
        <v>없음</v>
      </c>
      <c r="W31" s="27" t="str">
        <f t="shared" si="6"/>
        <v>미입증</v>
      </c>
    </row>
    <row r="32" ht="42.75" customHeight="1">
      <c r="A32" s="19" t="s">
        <v>171</v>
      </c>
      <c r="B32" s="19" t="s">
        <v>158</v>
      </c>
      <c r="C32" s="19" t="s">
        <v>529</v>
      </c>
      <c r="D32" s="6" t="s">
        <v>293</v>
      </c>
      <c r="E32" s="22">
        <v>20.0</v>
      </c>
      <c r="F32" s="27" t="str">
        <f>'종료평가용'!AJ35</f>
        <v>ND</v>
      </c>
      <c r="G32" s="29" t="str">
        <f t="shared" si="1"/>
        <v/>
      </c>
      <c r="H32" s="29" t="str">
        <f>IF('종료평가용'!AD35&lt;&gt;"☑","",IF('종료평가용'!AF35="☑",1,0.5))</f>
        <v/>
      </c>
      <c r="I32" s="29" t="str">
        <f>IF('종료평가용'!AD35&lt;&gt;"☑","",IF('종료평가용'!AE35="☑",1,0))</f>
        <v/>
      </c>
      <c r="J32" s="29" t="str">
        <f>IF('종료평가용'!AD35&lt;&gt;"☑","",IF('종료평가용'!AG35="☑",1,0))</f>
        <v/>
      </c>
      <c r="K32" s="29" t="str">
        <f>IF('종료평가용'!AD35&lt;&gt;"☑","",IF('종료평가용'!AH35="☑",1,0))</f>
        <v/>
      </c>
      <c r="L32" s="29" t="str">
        <f>IF('종료평가용'!AD35&lt;&gt;"☑","",IF('종료평가용'!AI35="☑",1,0))</f>
        <v/>
      </c>
      <c r="M32" s="29" t="str">
        <f>IF(COUNT(H32:L32)&lt;5,"",H32*'기준 설정'!$B$13+I32*'기준 설정'!$B$14+J32*'기준 설정'!$B$15+K32*'기준 설정'!$B$16+L32*'기준 설정'!$B$17)</f>
        <v/>
      </c>
      <c r="N32" s="29" t="str">
        <f t="shared" si="2"/>
        <v/>
      </c>
      <c r="O32" s="29">
        <f t="shared" si="3"/>
        <v>0</v>
      </c>
      <c r="P32" s="29">
        <f>IF(AND(ISNUMBER(G32),ISNUMBER(M32),M32&gt;='기준 설정'!$E$18),E32,0)</f>
        <v>0</v>
      </c>
      <c r="Q32" s="29">
        <f t="shared" si="4"/>
        <v>0</v>
      </c>
      <c r="R32" s="6" t="s">
        <v>558</v>
      </c>
      <c r="S32" s="41" t="str">
        <f>IF('종료평가용'!AM35="","",'종료평가용'!AM35)</f>
        <v/>
      </c>
      <c r="T32" s="19" t="s">
        <v>103</v>
      </c>
      <c r="U32" s="27" t="str">
        <f t="shared" si="5"/>
        <v>N</v>
      </c>
      <c r="V32" s="27" t="str">
        <f>'종료평가용'!AN35</f>
        <v>없음</v>
      </c>
      <c r="W32" s="27" t="str">
        <f t="shared" si="6"/>
        <v>미입증</v>
      </c>
    </row>
    <row r="33" ht="42.75" customHeight="1">
      <c r="A33" s="19" t="s">
        <v>171</v>
      </c>
      <c r="B33" s="19" t="s">
        <v>158</v>
      </c>
      <c r="C33" s="19" t="s">
        <v>563</v>
      </c>
      <c r="D33" s="6" t="s">
        <v>297</v>
      </c>
      <c r="E33" s="22">
        <v>20.0</v>
      </c>
      <c r="F33" s="27" t="str">
        <f>'종료평가용'!AJ36</f>
        <v>ND</v>
      </c>
      <c r="G33" s="29" t="str">
        <f t="shared" si="1"/>
        <v/>
      </c>
      <c r="H33" s="29" t="str">
        <f>IF('종료평가용'!AD36&lt;&gt;"☑","",IF('종료평가용'!AF36="☑",1,0.5))</f>
        <v/>
      </c>
      <c r="I33" s="29" t="str">
        <f>IF('종료평가용'!AD36&lt;&gt;"☑","",IF('종료평가용'!AE36="☑",1,0))</f>
        <v/>
      </c>
      <c r="J33" s="29" t="str">
        <f>IF('종료평가용'!AD36&lt;&gt;"☑","",IF('종료평가용'!AG36="☑",1,0))</f>
        <v/>
      </c>
      <c r="K33" s="29" t="str">
        <f>IF('종료평가용'!AD36&lt;&gt;"☑","",IF('종료평가용'!AH36="☑",1,0))</f>
        <v/>
      </c>
      <c r="L33" s="29" t="str">
        <f>IF('종료평가용'!AD36&lt;&gt;"☑","",IF('종료평가용'!AI36="☑",1,0))</f>
        <v/>
      </c>
      <c r="M33" s="29" t="str">
        <f>IF(COUNT(H33:L33)&lt;5,"",H33*'기준 설정'!$B$13+I33*'기준 설정'!$B$14+J33*'기준 설정'!$B$15+K33*'기준 설정'!$B$16+L33*'기준 설정'!$B$17)</f>
        <v/>
      </c>
      <c r="N33" s="29" t="str">
        <f t="shared" si="2"/>
        <v/>
      </c>
      <c r="O33" s="29">
        <f t="shared" si="3"/>
        <v>0</v>
      </c>
      <c r="P33" s="29">
        <f>IF(AND(ISNUMBER(G33),ISNUMBER(M33),M33&gt;='기준 설정'!$E$18),E33,0)</f>
        <v>0</v>
      </c>
      <c r="Q33" s="29">
        <f t="shared" si="4"/>
        <v>0</v>
      </c>
      <c r="R33" s="6" t="s">
        <v>583</v>
      </c>
      <c r="S33" s="41" t="str">
        <f>IF('종료평가용'!AM36="","",'종료평가용'!AM36)</f>
        <v/>
      </c>
      <c r="T33" s="19" t="s">
        <v>103</v>
      </c>
      <c r="U33" s="27" t="str">
        <f t="shared" si="5"/>
        <v>N</v>
      </c>
      <c r="V33" s="27" t="str">
        <f>'종료평가용'!AN36</f>
        <v>없음</v>
      </c>
      <c r="W33" s="27" t="str">
        <f t="shared" si="6"/>
        <v>미입증</v>
      </c>
    </row>
    <row r="34" ht="42.75" customHeight="1">
      <c r="A34" s="19" t="s">
        <v>171</v>
      </c>
      <c r="B34" s="19" t="s">
        <v>158</v>
      </c>
      <c r="C34" s="19" t="s">
        <v>585</v>
      </c>
      <c r="D34" s="6" t="s">
        <v>301</v>
      </c>
      <c r="E34" s="22">
        <v>20.0</v>
      </c>
      <c r="F34" s="27" t="str">
        <f>'종료평가용'!AJ37</f>
        <v>ND</v>
      </c>
      <c r="G34" s="29" t="str">
        <f t="shared" si="1"/>
        <v/>
      </c>
      <c r="H34" s="29" t="str">
        <f>IF('종료평가용'!AD37&lt;&gt;"☑","",IF('종료평가용'!AF37="☑",1,0.5))</f>
        <v/>
      </c>
      <c r="I34" s="29" t="str">
        <f>IF('종료평가용'!AD37&lt;&gt;"☑","",IF('종료평가용'!AE37="☑",1,0))</f>
        <v/>
      </c>
      <c r="J34" s="29" t="str">
        <f>IF('종료평가용'!AD37&lt;&gt;"☑","",IF('종료평가용'!AG37="☑",1,0))</f>
        <v/>
      </c>
      <c r="K34" s="29" t="str">
        <f>IF('종료평가용'!AD37&lt;&gt;"☑","",IF('종료평가용'!AH37="☑",1,0))</f>
        <v/>
      </c>
      <c r="L34" s="29" t="str">
        <f>IF('종료평가용'!AD37&lt;&gt;"☑","",IF('종료평가용'!AI37="☑",1,0))</f>
        <v/>
      </c>
      <c r="M34" s="29" t="str">
        <f>IF(COUNT(H34:L34)&lt;5,"",H34*'기준 설정'!$B$13+I34*'기준 설정'!$B$14+J34*'기준 설정'!$B$15+K34*'기준 설정'!$B$16+L34*'기준 설정'!$B$17)</f>
        <v/>
      </c>
      <c r="N34" s="29" t="str">
        <f t="shared" si="2"/>
        <v/>
      </c>
      <c r="O34" s="29">
        <f t="shared" si="3"/>
        <v>0</v>
      </c>
      <c r="P34" s="29">
        <f>IF(AND(ISNUMBER(G34),ISNUMBER(M34),M34&gt;='기준 설정'!$E$18),E34,0)</f>
        <v>0</v>
      </c>
      <c r="Q34" s="29">
        <f t="shared" si="4"/>
        <v>0</v>
      </c>
      <c r="R34" s="6" t="s">
        <v>591</v>
      </c>
      <c r="S34" s="41" t="str">
        <f>IF('종료평가용'!AM37="","",'종료평가용'!AM37)</f>
        <v/>
      </c>
      <c r="T34" s="19" t="s">
        <v>103</v>
      </c>
      <c r="U34" s="27" t="str">
        <f t="shared" si="5"/>
        <v>N</v>
      </c>
      <c r="V34" s="27" t="str">
        <f>'종료평가용'!AN37</f>
        <v>없음</v>
      </c>
      <c r="W34" s="27" t="str">
        <f t="shared" si="6"/>
        <v>미입증</v>
      </c>
    </row>
    <row r="35" ht="42.75" customHeight="1">
      <c r="A35" s="19" t="s">
        <v>171</v>
      </c>
      <c r="B35" s="19" t="s">
        <v>158</v>
      </c>
      <c r="C35" s="19" t="s">
        <v>592</v>
      </c>
      <c r="D35" s="6" t="s">
        <v>305</v>
      </c>
      <c r="E35" s="22">
        <v>20.0</v>
      </c>
      <c r="F35" s="27" t="str">
        <f>'종료평가용'!AJ38</f>
        <v>ND</v>
      </c>
      <c r="G35" s="29" t="str">
        <f t="shared" si="1"/>
        <v/>
      </c>
      <c r="H35" s="29" t="str">
        <f>IF('종료평가용'!AD38&lt;&gt;"☑","",IF('종료평가용'!AF38="☑",1,0.5))</f>
        <v/>
      </c>
      <c r="I35" s="29" t="str">
        <f>IF('종료평가용'!AD38&lt;&gt;"☑","",IF('종료평가용'!AE38="☑",1,0))</f>
        <v/>
      </c>
      <c r="J35" s="29" t="str">
        <f>IF('종료평가용'!AD38&lt;&gt;"☑","",IF('종료평가용'!AG38="☑",1,0))</f>
        <v/>
      </c>
      <c r="K35" s="29" t="str">
        <f>IF('종료평가용'!AD38&lt;&gt;"☑","",IF('종료평가용'!AH38="☑",1,0))</f>
        <v/>
      </c>
      <c r="L35" s="29" t="str">
        <f>IF('종료평가용'!AD38&lt;&gt;"☑","",IF('종료평가용'!AI38="☑",1,0))</f>
        <v/>
      </c>
      <c r="M35" s="29" t="str">
        <f>IF(COUNT(H35:L35)&lt;5,"",H35*'기준 설정'!$B$13+I35*'기준 설정'!$B$14+J35*'기준 설정'!$B$15+K35*'기준 설정'!$B$16+L35*'기준 설정'!$B$17)</f>
        <v/>
      </c>
      <c r="N35" s="29" t="str">
        <f t="shared" si="2"/>
        <v/>
      </c>
      <c r="O35" s="29">
        <f t="shared" si="3"/>
        <v>0</v>
      </c>
      <c r="P35" s="29">
        <f>IF(AND(ISNUMBER(G35),ISNUMBER(M35),M35&gt;='기준 설정'!$E$18),E35,0)</f>
        <v>0</v>
      </c>
      <c r="Q35" s="29">
        <f t="shared" si="4"/>
        <v>0</v>
      </c>
      <c r="R35" s="6" t="s">
        <v>595</v>
      </c>
      <c r="S35" s="41" t="str">
        <f>IF('종료평가용'!AM38="","",'종료평가용'!AM38)</f>
        <v/>
      </c>
      <c r="T35" s="19" t="s">
        <v>103</v>
      </c>
      <c r="U35" s="27" t="str">
        <f t="shared" si="5"/>
        <v>N</v>
      </c>
      <c r="V35" s="27" t="str">
        <f>'종료평가용'!AN38</f>
        <v>없음</v>
      </c>
      <c r="W35" s="27" t="str">
        <f t="shared" si="6"/>
        <v>미입증</v>
      </c>
    </row>
    <row r="36" ht="42.75" customHeight="1">
      <c r="A36" s="19" t="s">
        <v>171</v>
      </c>
      <c r="B36" s="19" t="s">
        <v>165</v>
      </c>
      <c r="C36" s="19" t="s">
        <v>597</v>
      </c>
      <c r="D36" s="6" t="s">
        <v>310</v>
      </c>
      <c r="E36" s="22">
        <v>20.0</v>
      </c>
      <c r="F36" s="27" t="str">
        <f>'종료평가용'!AJ39</f>
        <v>ND</v>
      </c>
      <c r="G36" s="29" t="str">
        <f t="shared" si="1"/>
        <v/>
      </c>
      <c r="H36" s="29" t="str">
        <f>IF('종료평가용'!AD39&lt;&gt;"☑","",IF('종료평가용'!AF39="☑",1,0.5))</f>
        <v/>
      </c>
      <c r="I36" s="29" t="str">
        <f>IF('종료평가용'!AD39&lt;&gt;"☑","",IF('종료평가용'!AE39="☑",1,0))</f>
        <v/>
      </c>
      <c r="J36" s="29" t="str">
        <f>IF('종료평가용'!AD39&lt;&gt;"☑","",IF('종료평가용'!AG39="☑",1,0))</f>
        <v/>
      </c>
      <c r="K36" s="29" t="str">
        <f>IF('종료평가용'!AD39&lt;&gt;"☑","",IF('종료평가용'!AH39="☑",1,0))</f>
        <v/>
      </c>
      <c r="L36" s="29" t="str">
        <f>IF('종료평가용'!AD39&lt;&gt;"☑","",IF('종료평가용'!AI39="☑",1,0))</f>
        <v/>
      </c>
      <c r="M36" s="29" t="str">
        <f>IF(COUNT(H36:L36)&lt;5,"",H36*'기준 설정'!$B$13+I36*'기준 설정'!$B$14+J36*'기준 설정'!$B$15+K36*'기준 설정'!$B$16+L36*'기준 설정'!$B$17)</f>
        <v/>
      </c>
      <c r="N36" s="29" t="str">
        <f t="shared" si="2"/>
        <v/>
      </c>
      <c r="O36" s="29">
        <f t="shared" si="3"/>
        <v>0</v>
      </c>
      <c r="P36" s="29">
        <f>IF(AND(ISNUMBER(G36),ISNUMBER(M36),M36&gt;='기준 설정'!$E$18),E36,0)</f>
        <v>0</v>
      </c>
      <c r="Q36" s="29">
        <f t="shared" si="4"/>
        <v>0</v>
      </c>
      <c r="R36" s="6" t="s">
        <v>600</v>
      </c>
      <c r="S36" s="41" t="str">
        <f>IF('종료평가용'!AM39="","",'종료평가용'!AM39)</f>
        <v/>
      </c>
      <c r="T36" s="19" t="s">
        <v>103</v>
      </c>
      <c r="U36" s="27" t="str">
        <f t="shared" si="5"/>
        <v>N</v>
      </c>
      <c r="V36" s="27" t="str">
        <f>'종료평가용'!AN39</f>
        <v>없음</v>
      </c>
      <c r="W36" s="27" t="str">
        <f t="shared" si="6"/>
        <v>미입증</v>
      </c>
    </row>
    <row r="37" ht="42.75" customHeight="1">
      <c r="A37" s="19" t="s">
        <v>171</v>
      </c>
      <c r="B37" s="19" t="s">
        <v>165</v>
      </c>
      <c r="C37" s="19" t="s">
        <v>601</v>
      </c>
      <c r="D37" s="6" t="s">
        <v>318</v>
      </c>
      <c r="E37" s="22">
        <v>20.0</v>
      </c>
      <c r="F37" s="27" t="str">
        <f>'종료평가용'!AJ40</f>
        <v>ND</v>
      </c>
      <c r="G37" s="29" t="str">
        <f t="shared" si="1"/>
        <v/>
      </c>
      <c r="H37" s="29" t="str">
        <f>IF('종료평가용'!AD40&lt;&gt;"☑","",IF('종료평가용'!AF40="☑",1,0.5))</f>
        <v/>
      </c>
      <c r="I37" s="29" t="str">
        <f>IF('종료평가용'!AD40&lt;&gt;"☑","",IF('종료평가용'!AE40="☑",1,0))</f>
        <v/>
      </c>
      <c r="J37" s="29" t="str">
        <f>IF('종료평가용'!AD40&lt;&gt;"☑","",IF('종료평가용'!AG40="☑",1,0))</f>
        <v/>
      </c>
      <c r="K37" s="29" t="str">
        <f>IF('종료평가용'!AD40&lt;&gt;"☑","",IF('종료평가용'!AH40="☑",1,0))</f>
        <v/>
      </c>
      <c r="L37" s="29" t="str">
        <f>IF('종료평가용'!AD40&lt;&gt;"☑","",IF('종료평가용'!AI40="☑",1,0))</f>
        <v/>
      </c>
      <c r="M37" s="29" t="str">
        <f>IF(COUNT(H37:L37)&lt;5,"",H37*'기준 설정'!$B$13+I37*'기준 설정'!$B$14+J37*'기준 설정'!$B$15+K37*'기준 설정'!$B$16+L37*'기준 설정'!$B$17)</f>
        <v/>
      </c>
      <c r="N37" s="29" t="str">
        <f t="shared" si="2"/>
        <v/>
      </c>
      <c r="O37" s="29">
        <f t="shared" si="3"/>
        <v>0</v>
      </c>
      <c r="P37" s="29">
        <f>IF(AND(ISNUMBER(G37),ISNUMBER(M37),M37&gt;='기준 설정'!$E$18),E37,0)</f>
        <v>0</v>
      </c>
      <c r="Q37" s="29">
        <f t="shared" si="4"/>
        <v>0</v>
      </c>
      <c r="R37" s="6" t="s">
        <v>604</v>
      </c>
      <c r="S37" s="41" t="str">
        <f>IF('종료평가용'!AM40="","",'종료평가용'!AM40)</f>
        <v/>
      </c>
      <c r="T37" s="19" t="s">
        <v>103</v>
      </c>
      <c r="U37" s="27" t="str">
        <f t="shared" si="5"/>
        <v>N</v>
      </c>
      <c r="V37" s="27" t="str">
        <f>'종료평가용'!AN40</f>
        <v>없음</v>
      </c>
      <c r="W37" s="27" t="str">
        <f t="shared" si="6"/>
        <v>미입증</v>
      </c>
    </row>
    <row r="38" ht="42.75" customHeight="1">
      <c r="A38" s="19" t="s">
        <v>171</v>
      </c>
      <c r="B38" s="19" t="s">
        <v>165</v>
      </c>
      <c r="C38" s="19" t="s">
        <v>605</v>
      </c>
      <c r="D38" s="6" t="s">
        <v>324</v>
      </c>
      <c r="E38" s="22">
        <v>20.0</v>
      </c>
      <c r="F38" s="27" t="str">
        <f>'종료평가용'!AJ41</f>
        <v>ND</v>
      </c>
      <c r="G38" s="29" t="str">
        <f t="shared" si="1"/>
        <v/>
      </c>
      <c r="H38" s="29" t="str">
        <f>IF('종료평가용'!AD41&lt;&gt;"☑","",IF('종료평가용'!AF41="☑",1,0.5))</f>
        <v/>
      </c>
      <c r="I38" s="29" t="str">
        <f>IF('종료평가용'!AD41&lt;&gt;"☑","",IF('종료평가용'!AE41="☑",1,0))</f>
        <v/>
      </c>
      <c r="J38" s="29" t="str">
        <f>IF('종료평가용'!AD41&lt;&gt;"☑","",IF('종료평가용'!AG41="☑",1,0))</f>
        <v/>
      </c>
      <c r="K38" s="29" t="str">
        <f>IF('종료평가용'!AD41&lt;&gt;"☑","",IF('종료평가용'!AH41="☑",1,0))</f>
        <v/>
      </c>
      <c r="L38" s="29" t="str">
        <f>IF('종료평가용'!AD41&lt;&gt;"☑","",IF('종료평가용'!AI41="☑",1,0))</f>
        <v/>
      </c>
      <c r="M38" s="29" t="str">
        <f>IF(COUNT(H38:L38)&lt;5,"",H38*'기준 설정'!$B$13+I38*'기준 설정'!$B$14+J38*'기준 설정'!$B$15+K38*'기준 설정'!$B$16+L38*'기준 설정'!$B$17)</f>
        <v/>
      </c>
      <c r="N38" s="29" t="str">
        <f t="shared" si="2"/>
        <v/>
      </c>
      <c r="O38" s="29">
        <f t="shared" si="3"/>
        <v>0</v>
      </c>
      <c r="P38" s="29">
        <f>IF(AND(ISNUMBER(G38),ISNUMBER(M38),M38&gt;='기준 설정'!$E$18),E38,0)</f>
        <v>0</v>
      </c>
      <c r="Q38" s="29">
        <f t="shared" si="4"/>
        <v>0</v>
      </c>
      <c r="R38" s="6" t="s">
        <v>607</v>
      </c>
      <c r="S38" s="41" t="str">
        <f>IF('종료평가용'!AM41="","",'종료평가용'!AM41)</f>
        <v/>
      </c>
      <c r="T38" s="19" t="s">
        <v>103</v>
      </c>
      <c r="U38" s="27" t="str">
        <f t="shared" si="5"/>
        <v>N</v>
      </c>
      <c r="V38" s="27" t="str">
        <f>'종료평가용'!AN41</f>
        <v>없음</v>
      </c>
      <c r="W38" s="27" t="str">
        <f t="shared" si="6"/>
        <v>미입증</v>
      </c>
    </row>
    <row r="39" ht="42.75" customHeight="1">
      <c r="A39" s="19" t="s">
        <v>171</v>
      </c>
      <c r="B39" s="19" t="s">
        <v>165</v>
      </c>
      <c r="C39" s="19" t="s">
        <v>608</v>
      </c>
      <c r="D39" s="6" t="s">
        <v>328</v>
      </c>
      <c r="E39" s="22">
        <v>20.0</v>
      </c>
      <c r="F39" s="27" t="str">
        <f>'종료평가용'!AJ42</f>
        <v>ND</v>
      </c>
      <c r="G39" s="29" t="str">
        <f t="shared" si="1"/>
        <v/>
      </c>
      <c r="H39" s="29" t="str">
        <f>IF('종료평가용'!AD42&lt;&gt;"☑","",IF('종료평가용'!AF42="☑",1,0.5))</f>
        <v/>
      </c>
      <c r="I39" s="29" t="str">
        <f>IF('종료평가용'!AD42&lt;&gt;"☑","",IF('종료평가용'!AE42="☑",1,0))</f>
        <v/>
      </c>
      <c r="J39" s="29" t="str">
        <f>IF('종료평가용'!AD42&lt;&gt;"☑","",IF('종료평가용'!AG42="☑",1,0))</f>
        <v/>
      </c>
      <c r="K39" s="29" t="str">
        <f>IF('종료평가용'!AD42&lt;&gt;"☑","",IF('종료평가용'!AH42="☑",1,0))</f>
        <v/>
      </c>
      <c r="L39" s="29" t="str">
        <f>IF('종료평가용'!AD42&lt;&gt;"☑","",IF('종료평가용'!AI42="☑",1,0))</f>
        <v/>
      </c>
      <c r="M39" s="29" t="str">
        <f>IF(COUNT(H39:L39)&lt;5,"",H39*'기준 설정'!$B$13+I39*'기준 설정'!$B$14+J39*'기준 설정'!$B$15+K39*'기준 설정'!$B$16+L39*'기준 설정'!$B$17)</f>
        <v/>
      </c>
      <c r="N39" s="29" t="str">
        <f t="shared" si="2"/>
        <v/>
      </c>
      <c r="O39" s="29">
        <f t="shared" si="3"/>
        <v>0</v>
      </c>
      <c r="P39" s="29">
        <f>IF(AND(ISNUMBER(G39),ISNUMBER(M39),M39&gt;='기준 설정'!$E$18),E39,0)</f>
        <v>0</v>
      </c>
      <c r="Q39" s="29">
        <f t="shared" si="4"/>
        <v>0</v>
      </c>
      <c r="R39" s="6" t="s">
        <v>614</v>
      </c>
      <c r="S39" s="41" t="str">
        <f>IF('종료평가용'!AM42="","",'종료평가용'!AM42)</f>
        <v/>
      </c>
      <c r="T39" s="19" t="s">
        <v>103</v>
      </c>
      <c r="U39" s="27" t="str">
        <f t="shared" si="5"/>
        <v>N</v>
      </c>
      <c r="V39" s="27" t="str">
        <f>'종료평가용'!AN42</f>
        <v>없음</v>
      </c>
      <c r="W39" s="27" t="str">
        <f t="shared" si="6"/>
        <v>미입증</v>
      </c>
    </row>
    <row r="40" ht="42.75" customHeight="1">
      <c r="A40" s="19" t="s">
        <v>171</v>
      </c>
      <c r="B40" s="19" t="s">
        <v>165</v>
      </c>
      <c r="C40" s="19" t="s">
        <v>616</v>
      </c>
      <c r="D40" s="6" t="s">
        <v>332</v>
      </c>
      <c r="E40" s="22">
        <v>20.0</v>
      </c>
      <c r="F40" s="27" t="str">
        <f>'종료평가용'!AJ43</f>
        <v>ND</v>
      </c>
      <c r="G40" s="29" t="str">
        <f t="shared" si="1"/>
        <v/>
      </c>
      <c r="H40" s="29" t="str">
        <f>IF('종료평가용'!AD43&lt;&gt;"☑","",IF('종료평가용'!AF43="☑",1,0.5))</f>
        <v/>
      </c>
      <c r="I40" s="29" t="str">
        <f>IF('종료평가용'!AD43&lt;&gt;"☑","",IF('종료평가용'!AE43="☑",1,0))</f>
        <v/>
      </c>
      <c r="J40" s="29" t="str">
        <f>IF('종료평가용'!AD43&lt;&gt;"☑","",IF('종료평가용'!AG43="☑",1,0))</f>
        <v/>
      </c>
      <c r="K40" s="29" t="str">
        <f>IF('종료평가용'!AD43&lt;&gt;"☑","",IF('종료평가용'!AH43="☑",1,0))</f>
        <v/>
      </c>
      <c r="L40" s="29" t="str">
        <f>IF('종료평가용'!AD43&lt;&gt;"☑","",IF('종료평가용'!AI43="☑",1,0))</f>
        <v/>
      </c>
      <c r="M40" s="29" t="str">
        <f>IF(COUNT(H40:L40)&lt;5,"",H40*'기준 설정'!$B$13+I40*'기준 설정'!$B$14+J40*'기준 설정'!$B$15+K40*'기준 설정'!$B$16+L40*'기준 설정'!$B$17)</f>
        <v/>
      </c>
      <c r="N40" s="29" t="str">
        <f t="shared" si="2"/>
        <v/>
      </c>
      <c r="O40" s="29">
        <f t="shared" si="3"/>
        <v>0</v>
      </c>
      <c r="P40" s="29">
        <f>IF(AND(ISNUMBER(G40),ISNUMBER(M40),M40&gt;='기준 설정'!$E$18),E40,0)</f>
        <v>0</v>
      </c>
      <c r="Q40" s="29">
        <f t="shared" si="4"/>
        <v>0</v>
      </c>
      <c r="R40" s="6" t="s">
        <v>620</v>
      </c>
      <c r="S40" s="41" t="str">
        <f>IF('종료평가용'!AM43="","",'종료평가용'!AM43)</f>
        <v/>
      </c>
      <c r="T40" s="19" t="s">
        <v>103</v>
      </c>
      <c r="U40" s="27" t="str">
        <f t="shared" si="5"/>
        <v>N</v>
      </c>
      <c r="V40" s="27" t="str">
        <f>'종료평가용'!AN43</f>
        <v>없음</v>
      </c>
      <c r="W40" s="27" t="str">
        <f t="shared" si="6"/>
        <v>미입증</v>
      </c>
    </row>
    <row r="41" ht="42.75" customHeight="1">
      <c r="A41" s="19" t="s">
        <v>233</v>
      </c>
      <c r="B41" s="19" t="s">
        <v>175</v>
      </c>
      <c r="C41" s="19" t="s">
        <v>624</v>
      </c>
      <c r="D41" s="6" t="s">
        <v>337</v>
      </c>
      <c r="E41" s="22">
        <v>20.0</v>
      </c>
      <c r="F41" s="27" t="str">
        <f>'종료평가용'!AJ44</f>
        <v>ND</v>
      </c>
      <c r="G41" s="29" t="str">
        <f t="shared" si="1"/>
        <v/>
      </c>
      <c r="H41" s="29" t="str">
        <f>IF('종료평가용'!AD44&lt;&gt;"☑","",IF('종료평가용'!AF44="☑",1,0.5))</f>
        <v/>
      </c>
      <c r="I41" s="29" t="str">
        <f>IF('종료평가용'!AD44&lt;&gt;"☑","",IF('종료평가용'!AE44="☑",1,0))</f>
        <v/>
      </c>
      <c r="J41" s="29" t="str">
        <f>IF('종료평가용'!AD44&lt;&gt;"☑","",IF('종료평가용'!AG44="☑",1,0))</f>
        <v/>
      </c>
      <c r="K41" s="29" t="str">
        <f>IF('종료평가용'!AD44&lt;&gt;"☑","",IF('종료평가용'!AH44="☑",1,0))</f>
        <v/>
      </c>
      <c r="L41" s="29" t="str">
        <f>IF('종료평가용'!AD44&lt;&gt;"☑","",IF('종료평가용'!AI44="☑",1,0))</f>
        <v/>
      </c>
      <c r="M41" s="29" t="str">
        <f>IF(COUNT(H41:L41)&lt;5,"",H41*'기준 설정'!$B$13+I41*'기준 설정'!$B$14+J41*'기준 설정'!$B$15+K41*'기준 설정'!$B$16+L41*'기준 설정'!$B$17)</f>
        <v/>
      </c>
      <c r="N41" s="29" t="str">
        <f t="shared" si="2"/>
        <v/>
      </c>
      <c r="O41" s="29">
        <f t="shared" si="3"/>
        <v>0</v>
      </c>
      <c r="P41" s="29">
        <f>IF(AND(ISNUMBER(G41),ISNUMBER(M41),M41&gt;='기준 설정'!$E$18),E41,0)</f>
        <v>0</v>
      </c>
      <c r="Q41" s="29">
        <f t="shared" si="4"/>
        <v>0</v>
      </c>
      <c r="R41" s="6" t="s">
        <v>629</v>
      </c>
      <c r="S41" s="41" t="str">
        <f>IF('종료평가용'!AM44="","",'종료평가용'!AM44)</f>
        <v/>
      </c>
      <c r="T41" s="19" t="s">
        <v>103</v>
      </c>
      <c r="U41" s="27" t="str">
        <f t="shared" si="5"/>
        <v>N</v>
      </c>
      <c r="V41" s="27" t="str">
        <f>'종료평가용'!AN44</f>
        <v>없음</v>
      </c>
      <c r="W41" s="27" t="str">
        <f t="shared" si="6"/>
        <v>미입증</v>
      </c>
    </row>
    <row r="42" ht="42.75" customHeight="1">
      <c r="A42" s="19" t="s">
        <v>233</v>
      </c>
      <c r="B42" s="19" t="s">
        <v>175</v>
      </c>
      <c r="C42" s="19" t="s">
        <v>631</v>
      </c>
      <c r="D42" s="6" t="s">
        <v>342</v>
      </c>
      <c r="E42" s="22">
        <v>20.0</v>
      </c>
      <c r="F42" s="27" t="str">
        <f>'종료평가용'!AJ45</f>
        <v>ND</v>
      </c>
      <c r="G42" s="29" t="str">
        <f t="shared" si="1"/>
        <v/>
      </c>
      <c r="H42" s="29" t="str">
        <f>IF('종료평가용'!AD45&lt;&gt;"☑","",IF('종료평가용'!AF45="☑",1,0.5))</f>
        <v/>
      </c>
      <c r="I42" s="29" t="str">
        <f>IF('종료평가용'!AD45&lt;&gt;"☑","",IF('종료평가용'!AE45="☑",1,0))</f>
        <v/>
      </c>
      <c r="J42" s="29" t="str">
        <f>IF('종료평가용'!AD45&lt;&gt;"☑","",IF('종료평가용'!AG45="☑",1,0))</f>
        <v/>
      </c>
      <c r="K42" s="29" t="str">
        <f>IF('종료평가용'!AD45&lt;&gt;"☑","",IF('종료평가용'!AH45="☑",1,0))</f>
        <v/>
      </c>
      <c r="L42" s="29" t="str">
        <f>IF('종료평가용'!AD45&lt;&gt;"☑","",IF('종료평가용'!AI45="☑",1,0))</f>
        <v/>
      </c>
      <c r="M42" s="29" t="str">
        <f>IF(COUNT(H42:L42)&lt;5,"",H42*'기준 설정'!$B$13+I42*'기준 설정'!$B$14+J42*'기준 설정'!$B$15+K42*'기준 설정'!$B$16+L42*'기준 설정'!$B$17)</f>
        <v/>
      </c>
      <c r="N42" s="29" t="str">
        <f t="shared" si="2"/>
        <v/>
      </c>
      <c r="O42" s="29">
        <f t="shared" si="3"/>
        <v>0</v>
      </c>
      <c r="P42" s="29">
        <f>IF(AND(ISNUMBER(G42),ISNUMBER(M42),M42&gt;='기준 설정'!$E$18),E42,0)</f>
        <v>0</v>
      </c>
      <c r="Q42" s="29">
        <f t="shared" si="4"/>
        <v>0</v>
      </c>
      <c r="R42" s="6" t="s">
        <v>632</v>
      </c>
      <c r="S42" s="41" t="str">
        <f>IF('종료평가용'!AM45="","",'종료평가용'!AM45)</f>
        <v/>
      </c>
      <c r="T42" s="19" t="s">
        <v>103</v>
      </c>
      <c r="U42" s="27" t="str">
        <f t="shared" si="5"/>
        <v>N</v>
      </c>
      <c r="V42" s="27" t="str">
        <f>'종료평가용'!AN45</f>
        <v>없음</v>
      </c>
      <c r="W42" s="27" t="str">
        <f t="shared" si="6"/>
        <v>미입증</v>
      </c>
    </row>
    <row r="43" ht="42.75" customHeight="1">
      <c r="A43" s="19" t="s">
        <v>233</v>
      </c>
      <c r="B43" s="19" t="s">
        <v>175</v>
      </c>
      <c r="C43" s="19" t="s">
        <v>633</v>
      </c>
      <c r="D43" s="6" t="s">
        <v>351</v>
      </c>
      <c r="E43" s="22">
        <v>20.0</v>
      </c>
      <c r="F43" s="27" t="str">
        <f>'종료평가용'!AJ46</f>
        <v>ND</v>
      </c>
      <c r="G43" s="29" t="str">
        <f t="shared" si="1"/>
        <v/>
      </c>
      <c r="H43" s="29" t="str">
        <f>IF('종료평가용'!AD46&lt;&gt;"☑","",IF('종료평가용'!AF46="☑",1,0.5))</f>
        <v/>
      </c>
      <c r="I43" s="29" t="str">
        <f>IF('종료평가용'!AD46&lt;&gt;"☑","",IF('종료평가용'!AE46="☑",1,0))</f>
        <v/>
      </c>
      <c r="J43" s="29" t="str">
        <f>IF('종료평가용'!AD46&lt;&gt;"☑","",IF('종료평가용'!AG46="☑",1,0))</f>
        <v/>
      </c>
      <c r="K43" s="29" t="str">
        <f>IF('종료평가용'!AD46&lt;&gt;"☑","",IF('종료평가용'!AH46="☑",1,0))</f>
        <v/>
      </c>
      <c r="L43" s="29" t="str">
        <f>IF('종료평가용'!AD46&lt;&gt;"☑","",IF('종료평가용'!AI46="☑",1,0))</f>
        <v/>
      </c>
      <c r="M43" s="29" t="str">
        <f>IF(COUNT(H43:L43)&lt;5,"",H43*'기준 설정'!$B$13+I43*'기준 설정'!$B$14+J43*'기준 설정'!$B$15+K43*'기준 설정'!$B$16+L43*'기준 설정'!$B$17)</f>
        <v/>
      </c>
      <c r="N43" s="29" t="str">
        <f t="shared" si="2"/>
        <v/>
      </c>
      <c r="O43" s="29">
        <f t="shared" si="3"/>
        <v>0</v>
      </c>
      <c r="P43" s="29">
        <f>IF(AND(ISNUMBER(G43),ISNUMBER(M43),M43&gt;='기준 설정'!$E$18),E43,0)</f>
        <v>0</v>
      </c>
      <c r="Q43" s="29">
        <f t="shared" si="4"/>
        <v>0</v>
      </c>
      <c r="R43" s="6" t="s">
        <v>635</v>
      </c>
      <c r="S43" s="41" t="str">
        <f>IF('종료평가용'!AM46="","",'종료평가용'!AM46)</f>
        <v/>
      </c>
      <c r="T43" s="19" t="s">
        <v>103</v>
      </c>
      <c r="U43" s="27" t="str">
        <f t="shared" si="5"/>
        <v>N</v>
      </c>
      <c r="V43" s="27" t="str">
        <f>'종료평가용'!AN46</f>
        <v>없음</v>
      </c>
      <c r="W43" s="27" t="str">
        <f t="shared" si="6"/>
        <v>미입증</v>
      </c>
    </row>
    <row r="44" ht="42.75" customHeight="1">
      <c r="A44" s="19" t="s">
        <v>233</v>
      </c>
      <c r="B44" s="19" t="s">
        <v>175</v>
      </c>
      <c r="C44" s="19" t="s">
        <v>636</v>
      </c>
      <c r="D44" s="6" t="s">
        <v>358</v>
      </c>
      <c r="E44" s="22">
        <v>20.0</v>
      </c>
      <c r="F44" s="27" t="str">
        <f>'종료평가용'!AJ47</f>
        <v>ND</v>
      </c>
      <c r="G44" s="29" t="str">
        <f t="shared" si="1"/>
        <v/>
      </c>
      <c r="H44" s="29" t="str">
        <f>IF('종료평가용'!AD47&lt;&gt;"☑","",IF('종료평가용'!AF47="☑",1,0.5))</f>
        <v/>
      </c>
      <c r="I44" s="29" t="str">
        <f>IF('종료평가용'!AD47&lt;&gt;"☑","",IF('종료평가용'!AE47="☑",1,0))</f>
        <v/>
      </c>
      <c r="J44" s="29" t="str">
        <f>IF('종료평가용'!AD47&lt;&gt;"☑","",IF('종료평가용'!AG47="☑",1,0))</f>
        <v/>
      </c>
      <c r="K44" s="29" t="str">
        <f>IF('종료평가용'!AD47&lt;&gt;"☑","",IF('종료평가용'!AH47="☑",1,0))</f>
        <v/>
      </c>
      <c r="L44" s="29" t="str">
        <f>IF('종료평가용'!AD47&lt;&gt;"☑","",IF('종료평가용'!AI47="☑",1,0))</f>
        <v/>
      </c>
      <c r="M44" s="29" t="str">
        <f>IF(COUNT(H44:L44)&lt;5,"",H44*'기준 설정'!$B$13+I44*'기준 설정'!$B$14+J44*'기준 설정'!$B$15+K44*'기준 설정'!$B$16+L44*'기준 설정'!$B$17)</f>
        <v/>
      </c>
      <c r="N44" s="29" t="str">
        <f t="shared" si="2"/>
        <v/>
      </c>
      <c r="O44" s="29">
        <f t="shared" si="3"/>
        <v>0</v>
      </c>
      <c r="P44" s="29">
        <f>IF(AND(ISNUMBER(G44),ISNUMBER(M44),M44&gt;='기준 설정'!$E$18),E44,0)</f>
        <v>0</v>
      </c>
      <c r="Q44" s="29">
        <f t="shared" si="4"/>
        <v>0</v>
      </c>
      <c r="R44" s="6" t="s">
        <v>647</v>
      </c>
      <c r="S44" s="41" t="str">
        <f>IF('종료평가용'!AM47="","",'종료평가용'!AM47)</f>
        <v/>
      </c>
      <c r="T44" s="19" t="s">
        <v>103</v>
      </c>
      <c r="U44" s="27" t="str">
        <f t="shared" si="5"/>
        <v>N</v>
      </c>
      <c r="V44" s="27" t="str">
        <f>'종료평가용'!AN47</f>
        <v>없음</v>
      </c>
      <c r="W44" s="27" t="str">
        <f t="shared" si="6"/>
        <v>미입증</v>
      </c>
    </row>
    <row r="45" ht="42.75" customHeight="1">
      <c r="A45" s="19" t="s">
        <v>233</v>
      </c>
      <c r="B45" s="19" t="s">
        <v>175</v>
      </c>
      <c r="C45" s="19" t="s">
        <v>648</v>
      </c>
      <c r="D45" s="6" t="s">
        <v>362</v>
      </c>
      <c r="E45" s="22">
        <v>20.0</v>
      </c>
      <c r="F45" s="27" t="str">
        <f>'종료평가용'!AJ48</f>
        <v>ND</v>
      </c>
      <c r="G45" s="29" t="str">
        <f t="shared" si="1"/>
        <v/>
      </c>
      <c r="H45" s="29" t="str">
        <f>IF('종료평가용'!AD48&lt;&gt;"☑","",IF('종료평가용'!AF48="☑",1,0.5))</f>
        <v/>
      </c>
      <c r="I45" s="29" t="str">
        <f>IF('종료평가용'!AD48&lt;&gt;"☑","",IF('종료평가용'!AE48="☑",1,0))</f>
        <v/>
      </c>
      <c r="J45" s="29" t="str">
        <f>IF('종료평가용'!AD48&lt;&gt;"☑","",IF('종료평가용'!AG48="☑",1,0))</f>
        <v/>
      </c>
      <c r="K45" s="29" t="str">
        <f>IF('종료평가용'!AD48&lt;&gt;"☑","",IF('종료평가용'!AH48="☑",1,0))</f>
        <v/>
      </c>
      <c r="L45" s="29" t="str">
        <f>IF('종료평가용'!AD48&lt;&gt;"☑","",IF('종료평가용'!AI48="☑",1,0))</f>
        <v/>
      </c>
      <c r="M45" s="29" t="str">
        <f>IF(COUNT(H45:L45)&lt;5,"",H45*'기준 설정'!$B$13+I45*'기준 설정'!$B$14+J45*'기준 설정'!$B$15+K45*'기준 설정'!$B$16+L45*'기준 설정'!$B$17)</f>
        <v/>
      </c>
      <c r="N45" s="29" t="str">
        <f t="shared" si="2"/>
        <v/>
      </c>
      <c r="O45" s="29">
        <f t="shared" si="3"/>
        <v>0</v>
      </c>
      <c r="P45" s="29">
        <f>IF(AND(ISNUMBER(G45),ISNUMBER(M45),M45&gt;='기준 설정'!$E$18),E45,0)</f>
        <v>0</v>
      </c>
      <c r="Q45" s="29">
        <f t="shared" si="4"/>
        <v>0</v>
      </c>
      <c r="R45" s="6" t="s">
        <v>649</v>
      </c>
      <c r="S45" s="41" t="str">
        <f>IF('종료평가용'!AM48="","",'종료평가용'!AM48)</f>
        <v/>
      </c>
      <c r="T45" s="19" t="s">
        <v>103</v>
      </c>
      <c r="U45" s="27" t="str">
        <f t="shared" si="5"/>
        <v>N</v>
      </c>
      <c r="V45" s="27" t="str">
        <f>'종료평가용'!AN48</f>
        <v>없음</v>
      </c>
      <c r="W45" s="27" t="str">
        <f t="shared" si="6"/>
        <v>미입증</v>
      </c>
    </row>
    <row r="46" ht="42.75" customHeight="1">
      <c r="A46" s="19" t="s">
        <v>233</v>
      </c>
      <c r="B46" s="19" t="s">
        <v>184</v>
      </c>
      <c r="C46" s="19" t="s">
        <v>650</v>
      </c>
      <c r="D46" s="6" t="s">
        <v>367</v>
      </c>
      <c r="E46" s="22">
        <v>20.0</v>
      </c>
      <c r="F46" s="27" t="str">
        <f>'종료평가용'!AJ49</f>
        <v>ND</v>
      </c>
      <c r="G46" s="29" t="str">
        <f t="shared" si="1"/>
        <v/>
      </c>
      <c r="H46" s="29" t="str">
        <f>IF('종료평가용'!AD49&lt;&gt;"☑","",IF('종료평가용'!AF49="☑",1,0.5))</f>
        <v/>
      </c>
      <c r="I46" s="29" t="str">
        <f>IF('종료평가용'!AD49&lt;&gt;"☑","",IF('종료평가용'!AE49="☑",1,0))</f>
        <v/>
      </c>
      <c r="J46" s="29" t="str">
        <f>IF('종료평가용'!AD49&lt;&gt;"☑","",IF('종료평가용'!AG49="☑",1,0))</f>
        <v/>
      </c>
      <c r="K46" s="29" t="str">
        <f>IF('종료평가용'!AD49&lt;&gt;"☑","",IF('종료평가용'!AH49="☑",1,0))</f>
        <v/>
      </c>
      <c r="L46" s="29" t="str">
        <f>IF('종료평가용'!AD49&lt;&gt;"☑","",IF('종료평가용'!AI49="☑",1,0))</f>
        <v/>
      </c>
      <c r="M46" s="29" t="str">
        <f>IF(COUNT(H46:L46)&lt;5,"",H46*'기준 설정'!$B$13+I46*'기준 설정'!$B$14+J46*'기준 설정'!$B$15+K46*'기준 설정'!$B$16+L46*'기준 설정'!$B$17)</f>
        <v/>
      </c>
      <c r="N46" s="29" t="str">
        <f t="shared" si="2"/>
        <v/>
      </c>
      <c r="O46" s="29">
        <f t="shared" si="3"/>
        <v>0</v>
      </c>
      <c r="P46" s="29">
        <f>IF(AND(ISNUMBER(G46),ISNUMBER(M46),M46&gt;='기준 설정'!$E$18),E46,0)</f>
        <v>0</v>
      </c>
      <c r="Q46" s="29">
        <f t="shared" si="4"/>
        <v>0</v>
      </c>
      <c r="R46" s="6" t="s">
        <v>651</v>
      </c>
      <c r="S46" s="41" t="str">
        <f>IF('종료평가용'!AM49="","",'종료평가용'!AM49)</f>
        <v/>
      </c>
      <c r="T46" s="19" t="s">
        <v>103</v>
      </c>
      <c r="U46" s="27" t="str">
        <f t="shared" si="5"/>
        <v>N</v>
      </c>
      <c r="V46" s="27" t="str">
        <f>'종료평가용'!AN49</f>
        <v>없음</v>
      </c>
      <c r="W46" s="27" t="str">
        <f t="shared" si="6"/>
        <v>미입증</v>
      </c>
    </row>
    <row r="47" ht="42.75" customHeight="1">
      <c r="A47" s="19" t="s">
        <v>233</v>
      </c>
      <c r="B47" s="19" t="s">
        <v>184</v>
      </c>
      <c r="C47" s="19" t="s">
        <v>652</v>
      </c>
      <c r="D47" s="6" t="s">
        <v>372</v>
      </c>
      <c r="E47" s="22">
        <v>20.0</v>
      </c>
      <c r="F47" s="27" t="str">
        <f>'종료평가용'!AJ50</f>
        <v>ND</v>
      </c>
      <c r="G47" s="29" t="str">
        <f t="shared" si="1"/>
        <v/>
      </c>
      <c r="H47" s="29" t="str">
        <f>IF('종료평가용'!AD50&lt;&gt;"☑","",IF('종료평가용'!AF50="☑",1,0.5))</f>
        <v/>
      </c>
      <c r="I47" s="29" t="str">
        <f>IF('종료평가용'!AD50&lt;&gt;"☑","",IF('종료평가용'!AE50="☑",1,0))</f>
        <v/>
      </c>
      <c r="J47" s="29" t="str">
        <f>IF('종료평가용'!AD50&lt;&gt;"☑","",IF('종료평가용'!AG50="☑",1,0))</f>
        <v/>
      </c>
      <c r="K47" s="29" t="str">
        <f>IF('종료평가용'!AD50&lt;&gt;"☑","",IF('종료평가용'!AH50="☑",1,0))</f>
        <v/>
      </c>
      <c r="L47" s="29" t="str">
        <f>IF('종료평가용'!AD50&lt;&gt;"☑","",IF('종료평가용'!AI50="☑",1,0))</f>
        <v/>
      </c>
      <c r="M47" s="29" t="str">
        <f>IF(COUNT(H47:L47)&lt;5,"",H47*'기준 설정'!$B$13+I47*'기준 설정'!$B$14+J47*'기준 설정'!$B$15+K47*'기준 설정'!$B$16+L47*'기준 설정'!$B$17)</f>
        <v/>
      </c>
      <c r="N47" s="29" t="str">
        <f t="shared" si="2"/>
        <v/>
      </c>
      <c r="O47" s="29">
        <f t="shared" si="3"/>
        <v>0</v>
      </c>
      <c r="P47" s="29">
        <f>IF(AND(ISNUMBER(G47),ISNUMBER(M47),M47&gt;='기준 설정'!$E$18),E47,0)</f>
        <v>0</v>
      </c>
      <c r="Q47" s="29">
        <f t="shared" si="4"/>
        <v>0</v>
      </c>
      <c r="R47" s="6" t="s">
        <v>653</v>
      </c>
      <c r="S47" s="41" t="str">
        <f>IF('종료평가용'!AM50="","",'종료평가용'!AM50)</f>
        <v/>
      </c>
      <c r="T47" s="19" t="s">
        <v>103</v>
      </c>
      <c r="U47" s="27" t="str">
        <f t="shared" si="5"/>
        <v>N</v>
      </c>
      <c r="V47" s="27" t="str">
        <f>'종료평가용'!AN50</f>
        <v>없음</v>
      </c>
      <c r="W47" s="27" t="str">
        <f t="shared" si="6"/>
        <v>미입증</v>
      </c>
    </row>
    <row r="48" ht="42.75" customHeight="1">
      <c r="A48" s="19" t="s">
        <v>233</v>
      </c>
      <c r="B48" s="19" t="s">
        <v>184</v>
      </c>
      <c r="C48" s="19" t="s">
        <v>654</v>
      </c>
      <c r="D48" s="6" t="s">
        <v>376</v>
      </c>
      <c r="E48" s="22">
        <v>20.0</v>
      </c>
      <c r="F48" s="27" t="str">
        <f>'종료평가용'!AJ51</f>
        <v>ND</v>
      </c>
      <c r="G48" s="29" t="str">
        <f t="shared" si="1"/>
        <v/>
      </c>
      <c r="H48" s="29" t="str">
        <f>IF('종료평가용'!AD51&lt;&gt;"☑","",IF('종료평가용'!AF51="☑",1,0.5))</f>
        <v/>
      </c>
      <c r="I48" s="29" t="str">
        <f>IF('종료평가용'!AD51&lt;&gt;"☑","",IF('종료평가용'!AE51="☑",1,0))</f>
        <v/>
      </c>
      <c r="J48" s="29" t="str">
        <f>IF('종료평가용'!AD51&lt;&gt;"☑","",IF('종료평가용'!AG51="☑",1,0))</f>
        <v/>
      </c>
      <c r="K48" s="29" t="str">
        <f>IF('종료평가용'!AD51&lt;&gt;"☑","",IF('종료평가용'!AH51="☑",1,0))</f>
        <v/>
      </c>
      <c r="L48" s="29" t="str">
        <f>IF('종료평가용'!AD51&lt;&gt;"☑","",IF('종료평가용'!AI51="☑",1,0))</f>
        <v/>
      </c>
      <c r="M48" s="29" t="str">
        <f>IF(COUNT(H48:L48)&lt;5,"",H48*'기준 설정'!$B$13+I48*'기준 설정'!$B$14+J48*'기준 설정'!$B$15+K48*'기준 설정'!$B$16+L48*'기준 설정'!$B$17)</f>
        <v/>
      </c>
      <c r="N48" s="29" t="str">
        <f t="shared" si="2"/>
        <v/>
      </c>
      <c r="O48" s="29">
        <f t="shared" si="3"/>
        <v>0</v>
      </c>
      <c r="P48" s="29">
        <f>IF(AND(ISNUMBER(G48),ISNUMBER(M48),M48&gt;='기준 설정'!$E$18),E48,0)</f>
        <v>0</v>
      </c>
      <c r="Q48" s="29">
        <f t="shared" si="4"/>
        <v>0</v>
      </c>
      <c r="R48" s="6" t="s">
        <v>655</v>
      </c>
      <c r="S48" s="41" t="str">
        <f>IF('종료평가용'!AM51="","",'종료평가용'!AM51)</f>
        <v/>
      </c>
      <c r="T48" s="19" t="s">
        <v>103</v>
      </c>
      <c r="U48" s="27" t="str">
        <f t="shared" si="5"/>
        <v>N</v>
      </c>
      <c r="V48" s="27" t="str">
        <f>'종료평가용'!AN51</f>
        <v>없음</v>
      </c>
      <c r="W48" s="27" t="str">
        <f t="shared" si="6"/>
        <v>미입증</v>
      </c>
    </row>
    <row r="49" ht="42.75" customHeight="1">
      <c r="A49" s="19" t="s">
        <v>233</v>
      </c>
      <c r="B49" s="19" t="s">
        <v>184</v>
      </c>
      <c r="C49" s="19" t="s">
        <v>656</v>
      </c>
      <c r="D49" s="6" t="s">
        <v>380</v>
      </c>
      <c r="E49" s="22">
        <v>20.0</v>
      </c>
      <c r="F49" s="27" t="str">
        <f>'종료평가용'!AJ52</f>
        <v>ND</v>
      </c>
      <c r="G49" s="29" t="str">
        <f t="shared" si="1"/>
        <v/>
      </c>
      <c r="H49" s="29" t="str">
        <f>IF('종료평가용'!AD52&lt;&gt;"☑","",IF('종료평가용'!AF52="☑",1,0.5))</f>
        <v/>
      </c>
      <c r="I49" s="29" t="str">
        <f>IF('종료평가용'!AD52&lt;&gt;"☑","",IF('종료평가용'!AE52="☑",1,0))</f>
        <v/>
      </c>
      <c r="J49" s="29" t="str">
        <f>IF('종료평가용'!AD52&lt;&gt;"☑","",IF('종료평가용'!AG52="☑",1,0))</f>
        <v/>
      </c>
      <c r="K49" s="29" t="str">
        <f>IF('종료평가용'!AD52&lt;&gt;"☑","",IF('종료평가용'!AH52="☑",1,0))</f>
        <v/>
      </c>
      <c r="L49" s="29" t="str">
        <f>IF('종료평가용'!AD52&lt;&gt;"☑","",IF('종료평가용'!AI52="☑",1,0))</f>
        <v/>
      </c>
      <c r="M49" s="29" t="str">
        <f>IF(COUNT(H49:L49)&lt;5,"",H49*'기준 설정'!$B$13+I49*'기준 설정'!$B$14+J49*'기준 설정'!$B$15+K49*'기준 설정'!$B$16+L49*'기준 설정'!$B$17)</f>
        <v/>
      </c>
      <c r="N49" s="29" t="str">
        <f t="shared" si="2"/>
        <v/>
      </c>
      <c r="O49" s="29">
        <f t="shared" si="3"/>
        <v>0</v>
      </c>
      <c r="P49" s="29">
        <f>IF(AND(ISNUMBER(G49),ISNUMBER(M49),M49&gt;='기준 설정'!$E$18),E49,0)</f>
        <v>0</v>
      </c>
      <c r="Q49" s="29">
        <f t="shared" si="4"/>
        <v>0</v>
      </c>
      <c r="R49" s="6" t="s">
        <v>657</v>
      </c>
      <c r="S49" s="41" t="str">
        <f>IF('종료평가용'!AM52="","",'종료평가용'!AM52)</f>
        <v/>
      </c>
      <c r="T49" s="19" t="s">
        <v>103</v>
      </c>
      <c r="U49" s="27" t="str">
        <f t="shared" si="5"/>
        <v>N</v>
      </c>
      <c r="V49" s="27" t="str">
        <f>'종료평가용'!AN52</f>
        <v>없음</v>
      </c>
      <c r="W49" s="27" t="str">
        <f t="shared" si="6"/>
        <v>미입증</v>
      </c>
    </row>
    <row r="50" ht="42.75" customHeight="1">
      <c r="A50" s="19" t="s">
        <v>233</v>
      </c>
      <c r="B50" s="19" t="s">
        <v>184</v>
      </c>
      <c r="C50" s="19" t="s">
        <v>658</v>
      </c>
      <c r="D50" s="6" t="s">
        <v>408</v>
      </c>
      <c r="E50" s="22">
        <v>20.0</v>
      </c>
      <c r="F50" s="27" t="str">
        <f>'종료평가용'!AJ53</f>
        <v>ND</v>
      </c>
      <c r="G50" s="29" t="str">
        <f t="shared" si="1"/>
        <v/>
      </c>
      <c r="H50" s="29" t="str">
        <f>IF('종료평가용'!AD53&lt;&gt;"☑","",IF('종료평가용'!AF53="☑",1,0.5))</f>
        <v/>
      </c>
      <c r="I50" s="29" t="str">
        <f>IF('종료평가용'!AD53&lt;&gt;"☑","",IF('종료평가용'!AE53="☑",1,0))</f>
        <v/>
      </c>
      <c r="J50" s="29" t="str">
        <f>IF('종료평가용'!AD53&lt;&gt;"☑","",IF('종료평가용'!AG53="☑",1,0))</f>
        <v/>
      </c>
      <c r="K50" s="29" t="str">
        <f>IF('종료평가용'!AD53&lt;&gt;"☑","",IF('종료평가용'!AH53="☑",1,0))</f>
        <v/>
      </c>
      <c r="L50" s="29" t="str">
        <f>IF('종료평가용'!AD53&lt;&gt;"☑","",IF('종료평가용'!AI53="☑",1,0))</f>
        <v/>
      </c>
      <c r="M50" s="29" t="str">
        <f>IF(COUNT(H50:L50)&lt;5,"",H50*'기준 설정'!$B$13+I50*'기준 설정'!$B$14+J50*'기준 설정'!$B$15+K50*'기준 설정'!$B$16+L50*'기준 설정'!$B$17)</f>
        <v/>
      </c>
      <c r="N50" s="29" t="str">
        <f t="shared" si="2"/>
        <v/>
      </c>
      <c r="O50" s="29">
        <f t="shared" si="3"/>
        <v>0</v>
      </c>
      <c r="P50" s="29">
        <f>IF(AND(ISNUMBER(G50),ISNUMBER(M50),M50&gt;='기준 설정'!$E$18),E50,0)</f>
        <v>0</v>
      </c>
      <c r="Q50" s="29">
        <f t="shared" si="4"/>
        <v>0</v>
      </c>
      <c r="R50" s="6" t="s">
        <v>659</v>
      </c>
      <c r="S50" s="41" t="str">
        <f>IF('종료평가용'!AM53="","",'종료평가용'!AM53)</f>
        <v/>
      </c>
      <c r="T50" s="19" t="s">
        <v>103</v>
      </c>
      <c r="U50" s="27" t="str">
        <f t="shared" si="5"/>
        <v>N</v>
      </c>
      <c r="V50" s="27" t="str">
        <f>'종료평가용'!AN53</f>
        <v>없음</v>
      </c>
      <c r="W50" s="27" t="str">
        <f t="shared" si="6"/>
        <v>미입증</v>
      </c>
    </row>
    <row r="51" ht="42.75" customHeight="1">
      <c r="A51" s="19" t="s">
        <v>281</v>
      </c>
      <c r="B51" s="19" t="s">
        <v>197</v>
      </c>
      <c r="C51" s="19" t="s">
        <v>660</v>
      </c>
      <c r="D51" s="6" t="s">
        <v>418</v>
      </c>
      <c r="E51" s="22">
        <v>20.0</v>
      </c>
      <c r="F51" s="27" t="str">
        <f>'종료평가용'!AJ54</f>
        <v>ND</v>
      </c>
      <c r="G51" s="29" t="str">
        <f t="shared" si="1"/>
        <v/>
      </c>
      <c r="H51" s="29" t="str">
        <f>IF('종료평가용'!AD54&lt;&gt;"☑","",IF('종료평가용'!AF54="☑",1,0.5))</f>
        <v/>
      </c>
      <c r="I51" s="29" t="str">
        <f>IF('종료평가용'!AD54&lt;&gt;"☑","",IF('종료평가용'!AE54="☑",1,0))</f>
        <v/>
      </c>
      <c r="J51" s="29" t="str">
        <f>IF('종료평가용'!AD54&lt;&gt;"☑","",IF('종료평가용'!AG54="☑",1,0))</f>
        <v/>
      </c>
      <c r="K51" s="29" t="str">
        <f>IF('종료평가용'!AD54&lt;&gt;"☑","",IF('종료평가용'!AH54="☑",1,0))</f>
        <v/>
      </c>
      <c r="L51" s="29" t="str">
        <f>IF('종료평가용'!AD54&lt;&gt;"☑","",IF('종료평가용'!AI54="☑",1,0))</f>
        <v/>
      </c>
      <c r="M51" s="29" t="str">
        <f>IF(COUNT(H51:L51)&lt;5,"",H51*'기준 설정'!$B$13+I51*'기준 설정'!$B$14+J51*'기준 설정'!$B$15+K51*'기준 설정'!$B$16+L51*'기준 설정'!$B$17)</f>
        <v/>
      </c>
      <c r="N51" s="29" t="str">
        <f t="shared" si="2"/>
        <v/>
      </c>
      <c r="O51" s="29">
        <f t="shared" si="3"/>
        <v>0</v>
      </c>
      <c r="P51" s="29">
        <f>IF(AND(ISNUMBER(G51),ISNUMBER(M51),M51&gt;='기준 설정'!$E$18),E51,0)</f>
        <v>0</v>
      </c>
      <c r="Q51" s="29">
        <f t="shared" si="4"/>
        <v>0</v>
      </c>
      <c r="R51" s="6" t="s">
        <v>661</v>
      </c>
      <c r="S51" s="41" t="str">
        <f>IF('종료평가용'!AM54="","",'종료평가용'!AM54)</f>
        <v/>
      </c>
      <c r="T51" s="19" t="s">
        <v>103</v>
      </c>
      <c r="U51" s="27" t="str">
        <f t="shared" si="5"/>
        <v>N</v>
      </c>
      <c r="V51" s="27" t="str">
        <f>'종료평가용'!AN54</f>
        <v>없음</v>
      </c>
      <c r="W51" s="27" t="str">
        <f t="shared" si="6"/>
        <v>미입증</v>
      </c>
    </row>
    <row r="52" ht="42.75" customHeight="1">
      <c r="A52" s="19" t="s">
        <v>281</v>
      </c>
      <c r="B52" s="19" t="s">
        <v>197</v>
      </c>
      <c r="C52" s="19" t="s">
        <v>662</v>
      </c>
      <c r="D52" s="6" t="s">
        <v>429</v>
      </c>
      <c r="E52" s="22">
        <v>20.0</v>
      </c>
      <c r="F52" s="27" t="str">
        <f>'종료평가용'!AJ55</f>
        <v>ND</v>
      </c>
      <c r="G52" s="29" t="str">
        <f t="shared" si="1"/>
        <v/>
      </c>
      <c r="H52" s="29" t="str">
        <f>IF('종료평가용'!AD55&lt;&gt;"☑","",IF('종료평가용'!AF55="☑",1,0.5))</f>
        <v/>
      </c>
      <c r="I52" s="29" t="str">
        <f>IF('종료평가용'!AD55&lt;&gt;"☑","",IF('종료평가용'!AE55="☑",1,0))</f>
        <v/>
      </c>
      <c r="J52" s="29" t="str">
        <f>IF('종료평가용'!AD55&lt;&gt;"☑","",IF('종료평가용'!AG55="☑",1,0))</f>
        <v/>
      </c>
      <c r="K52" s="29" t="str">
        <f>IF('종료평가용'!AD55&lt;&gt;"☑","",IF('종료평가용'!AH55="☑",1,0))</f>
        <v/>
      </c>
      <c r="L52" s="29" t="str">
        <f>IF('종료평가용'!AD55&lt;&gt;"☑","",IF('종료평가용'!AI55="☑",1,0))</f>
        <v/>
      </c>
      <c r="M52" s="29" t="str">
        <f>IF(COUNT(H52:L52)&lt;5,"",H52*'기준 설정'!$B$13+I52*'기준 설정'!$B$14+J52*'기준 설정'!$B$15+K52*'기준 설정'!$B$16+L52*'기준 설정'!$B$17)</f>
        <v/>
      </c>
      <c r="N52" s="29" t="str">
        <f t="shared" si="2"/>
        <v/>
      </c>
      <c r="O52" s="29">
        <f t="shared" si="3"/>
        <v>0</v>
      </c>
      <c r="P52" s="29">
        <f>IF(AND(ISNUMBER(G52),ISNUMBER(M52),M52&gt;='기준 설정'!$E$18),E52,0)</f>
        <v>0</v>
      </c>
      <c r="Q52" s="29">
        <f t="shared" si="4"/>
        <v>0</v>
      </c>
      <c r="R52" s="6" t="s">
        <v>663</v>
      </c>
      <c r="S52" s="41" t="str">
        <f>IF('종료평가용'!AM55="","",'종료평가용'!AM55)</f>
        <v/>
      </c>
      <c r="T52" s="19" t="s">
        <v>103</v>
      </c>
      <c r="U52" s="27" t="str">
        <f t="shared" si="5"/>
        <v>N</v>
      </c>
      <c r="V52" s="27" t="str">
        <f>'종료평가용'!AN55</f>
        <v>없음</v>
      </c>
      <c r="W52" s="27" t="str">
        <f t="shared" si="6"/>
        <v>미입증</v>
      </c>
    </row>
    <row r="53" ht="42.75" customHeight="1">
      <c r="A53" s="19" t="s">
        <v>281</v>
      </c>
      <c r="B53" s="19" t="s">
        <v>197</v>
      </c>
      <c r="C53" s="19" t="s">
        <v>664</v>
      </c>
      <c r="D53" s="6" t="s">
        <v>436</v>
      </c>
      <c r="E53" s="22">
        <v>20.0</v>
      </c>
      <c r="F53" s="27" t="str">
        <f>'종료평가용'!AJ56</f>
        <v>ND</v>
      </c>
      <c r="G53" s="29" t="str">
        <f t="shared" si="1"/>
        <v/>
      </c>
      <c r="H53" s="29" t="str">
        <f>IF('종료평가용'!AD56&lt;&gt;"☑","",IF('종료평가용'!AF56="☑",1,0.5))</f>
        <v/>
      </c>
      <c r="I53" s="29" t="str">
        <f>IF('종료평가용'!AD56&lt;&gt;"☑","",IF('종료평가용'!AE56="☑",1,0))</f>
        <v/>
      </c>
      <c r="J53" s="29" t="str">
        <f>IF('종료평가용'!AD56&lt;&gt;"☑","",IF('종료평가용'!AG56="☑",1,0))</f>
        <v/>
      </c>
      <c r="K53" s="29" t="str">
        <f>IF('종료평가용'!AD56&lt;&gt;"☑","",IF('종료평가용'!AH56="☑",1,0))</f>
        <v/>
      </c>
      <c r="L53" s="29" t="str">
        <f>IF('종료평가용'!AD56&lt;&gt;"☑","",IF('종료평가용'!AI56="☑",1,0))</f>
        <v/>
      </c>
      <c r="M53" s="29" t="str">
        <f>IF(COUNT(H53:L53)&lt;5,"",H53*'기준 설정'!$B$13+I53*'기준 설정'!$B$14+J53*'기준 설정'!$B$15+K53*'기준 설정'!$B$16+L53*'기준 설정'!$B$17)</f>
        <v/>
      </c>
      <c r="N53" s="29" t="str">
        <f t="shared" si="2"/>
        <v/>
      </c>
      <c r="O53" s="29">
        <f t="shared" si="3"/>
        <v>0</v>
      </c>
      <c r="P53" s="29">
        <f>IF(AND(ISNUMBER(G53),ISNUMBER(M53),M53&gt;='기준 설정'!$E$18),E53,0)</f>
        <v>0</v>
      </c>
      <c r="Q53" s="29">
        <f t="shared" si="4"/>
        <v>0</v>
      </c>
      <c r="R53" s="6" t="s">
        <v>665</v>
      </c>
      <c r="S53" s="41" t="str">
        <f>IF('종료평가용'!AM56="","",'종료평가용'!AM56)</f>
        <v/>
      </c>
      <c r="T53" s="19" t="s">
        <v>103</v>
      </c>
      <c r="U53" s="27" t="str">
        <f t="shared" si="5"/>
        <v>N</v>
      </c>
      <c r="V53" s="27" t="str">
        <f>'종료평가용'!AN56</f>
        <v>없음</v>
      </c>
      <c r="W53" s="27" t="str">
        <f t="shared" si="6"/>
        <v>미입증</v>
      </c>
    </row>
    <row r="54" ht="42.75" customHeight="1">
      <c r="A54" s="19" t="s">
        <v>281</v>
      </c>
      <c r="B54" s="19" t="s">
        <v>197</v>
      </c>
      <c r="C54" s="19" t="s">
        <v>666</v>
      </c>
      <c r="D54" s="6" t="s">
        <v>442</v>
      </c>
      <c r="E54" s="22">
        <v>20.0</v>
      </c>
      <c r="F54" s="27" t="str">
        <f>'종료평가용'!AJ57</f>
        <v>ND</v>
      </c>
      <c r="G54" s="29" t="str">
        <f t="shared" si="1"/>
        <v/>
      </c>
      <c r="H54" s="29" t="str">
        <f>IF('종료평가용'!AD57&lt;&gt;"☑","",IF('종료평가용'!AF57="☑",1,0.5))</f>
        <v/>
      </c>
      <c r="I54" s="29" t="str">
        <f>IF('종료평가용'!AD57&lt;&gt;"☑","",IF('종료평가용'!AE57="☑",1,0))</f>
        <v/>
      </c>
      <c r="J54" s="29" t="str">
        <f>IF('종료평가용'!AD57&lt;&gt;"☑","",IF('종료평가용'!AG57="☑",1,0))</f>
        <v/>
      </c>
      <c r="K54" s="29" t="str">
        <f>IF('종료평가용'!AD57&lt;&gt;"☑","",IF('종료평가용'!AH57="☑",1,0))</f>
        <v/>
      </c>
      <c r="L54" s="29" t="str">
        <f>IF('종료평가용'!AD57&lt;&gt;"☑","",IF('종료평가용'!AI57="☑",1,0))</f>
        <v/>
      </c>
      <c r="M54" s="29" t="str">
        <f>IF(COUNT(H54:L54)&lt;5,"",H54*'기준 설정'!$B$13+I54*'기준 설정'!$B$14+J54*'기준 설정'!$B$15+K54*'기준 설정'!$B$16+L54*'기준 설정'!$B$17)</f>
        <v/>
      </c>
      <c r="N54" s="29" t="str">
        <f t="shared" si="2"/>
        <v/>
      </c>
      <c r="O54" s="29">
        <f t="shared" si="3"/>
        <v>0</v>
      </c>
      <c r="P54" s="29">
        <f>IF(AND(ISNUMBER(G54),ISNUMBER(M54),M54&gt;='기준 설정'!$E$18),E54,0)</f>
        <v>0</v>
      </c>
      <c r="Q54" s="29">
        <f t="shared" si="4"/>
        <v>0</v>
      </c>
      <c r="R54" s="6" t="s">
        <v>667</v>
      </c>
      <c r="S54" s="41" t="str">
        <f>IF('종료평가용'!AM57="","",'종료평가용'!AM57)</f>
        <v/>
      </c>
      <c r="T54" s="19" t="s">
        <v>103</v>
      </c>
      <c r="U54" s="27" t="str">
        <f t="shared" si="5"/>
        <v>N</v>
      </c>
      <c r="V54" s="27" t="str">
        <f>'종료평가용'!AN57</f>
        <v>없음</v>
      </c>
      <c r="W54" s="27" t="str">
        <f t="shared" si="6"/>
        <v>미입증</v>
      </c>
    </row>
    <row r="55" ht="42.75" customHeight="1">
      <c r="A55" s="19" t="s">
        <v>281</v>
      </c>
      <c r="B55" s="19" t="s">
        <v>197</v>
      </c>
      <c r="C55" s="19" t="s">
        <v>668</v>
      </c>
      <c r="D55" s="6" t="s">
        <v>531</v>
      </c>
      <c r="E55" s="22">
        <v>20.0</v>
      </c>
      <c r="F55" s="27" t="str">
        <f>'종료평가용'!AJ58</f>
        <v>ND</v>
      </c>
      <c r="G55" s="29" t="str">
        <f t="shared" si="1"/>
        <v/>
      </c>
      <c r="H55" s="29" t="str">
        <f>IF('종료평가용'!AD58&lt;&gt;"☑","",IF('종료평가용'!AF58="☑",1,0.5))</f>
        <v/>
      </c>
      <c r="I55" s="29" t="str">
        <f>IF('종료평가용'!AD58&lt;&gt;"☑","",IF('종료평가용'!AE58="☑",1,0))</f>
        <v/>
      </c>
      <c r="J55" s="29" t="str">
        <f>IF('종료평가용'!AD58&lt;&gt;"☑","",IF('종료평가용'!AG58="☑",1,0))</f>
        <v/>
      </c>
      <c r="K55" s="29" t="str">
        <f>IF('종료평가용'!AD58&lt;&gt;"☑","",IF('종료평가용'!AH58="☑",1,0))</f>
        <v/>
      </c>
      <c r="L55" s="29" t="str">
        <f>IF('종료평가용'!AD58&lt;&gt;"☑","",IF('종료평가용'!AI58="☑",1,0))</f>
        <v/>
      </c>
      <c r="M55" s="29" t="str">
        <f>IF(COUNT(H55:L55)&lt;5,"",H55*'기준 설정'!$B$13+I55*'기준 설정'!$B$14+J55*'기준 설정'!$B$15+K55*'기준 설정'!$B$16+L55*'기준 설정'!$B$17)</f>
        <v/>
      </c>
      <c r="N55" s="29" t="str">
        <f t="shared" si="2"/>
        <v/>
      </c>
      <c r="O55" s="29">
        <f t="shared" si="3"/>
        <v>0</v>
      </c>
      <c r="P55" s="29">
        <f>IF(AND(ISNUMBER(G55),ISNUMBER(M55),M55&gt;='기준 설정'!$E$18),E55,0)</f>
        <v>0</v>
      </c>
      <c r="Q55" s="29">
        <f t="shared" si="4"/>
        <v>0</v>
      </c>
      <c r="R55" s="6" t="s">
        <v>669</v>
      </c>
      <c r="S55" s="41" t="str">
        <f>IF('종료평가용'!AM58="","",'종료평가용'!AM58)</f>
        <v/>
      </c>
      <c r="T55" s="19" t="s">
        <v>103</v>
      </c>
      <c r="U55" s="27" t="str">
        <f t="shared" si="5"/>
        <v>N</v>
      </c>
      <c r="V55" s="27" t="str">
        <f>'종료평가용'!AN58</f>
        <v>없음</v>
      </c>
      <c r="W55" s="27" t="str">
        <f t="shared" si="6"/>
        <v>미입증</v>
      </c>
    </row>
    <row r="56" ht="42.75" customHeight="1">
      <c r="A56" s="19" t="s">
        <v>281</v>
      </c>
      <c r="B56" s="19" t="s">
        <v>202</v>
      </c>
      <c r="C56" s="19" t="s">
        <v>670</v>
      </c>
      <c r="D56" s="6" t="s">
        <v>568</v>
      </c>
      <c r="E56" s="22">
        <v>20.0</v>
      </c>
      <c r="F56" s="27" t="str">
        <f>'종료평가용'!AJ59</f>
        <v>ND</v>
      </c>
      <c r="G56" s="29" t="str">
        <f t="shared" si="1"/>
        <v/>
      </c>
      <c r="H56" s="29" t="str">
        <f>IF('종료평가용'!AD59&lt;&gt;"☑","",IF('종료평가용'!AF59="☑",1,0.5))</f>
        <v/>
      </c>
      <c r="I56" s="29" t="str">
        <f>IF('종료평가용'!AD59&lt;&gt;"☑","",IF('종료평가용'!AE59="☑",1,0))</f>
        <v/>
      </c>
      <c r="J56" s="29" t="str">
        <f>IF('종료평가용'!AD59&lt;&gt;"☑","",IF('종료평가용'!AG59="☑",1,0))</f>
        <v/>
      </c>
      <c r="K56" s="29" t="str">
        <f>IF('종료평가용'!AD59&lt;&gt;"☑","",IF('종료평가용'!AH59="☑",1,0))</f>
        <v/>
      </c>
      <c r="L56" s="29" t="str">
        <f>IF('종료평가용'!AD59&lt;&gt;"☑","",IF('종료평가용'!AI59="☑",1,0))</f>
        <v/>
      </c>
      <c r="M56" s="29" t="str">
        <f>IF(COUNT(H56:L56)&lt;5,"",H56*'기준 설정'!$B$13+I56*'기준 설정'!$B$14+J56*'기준 설정'!$B$15+K56*'기준 설정'!$B$16+L56*'기준 설정'!$B$17)</f>
        <v/>
      </c>
      <c r="N56" s="29" t="str">
        <f t="shared" si="2"/>
        <v/>
      </c>
      <c r="O56" s="29">
        <f t="shared" si="3"/>
        <v>0</v>
      </c>
      <c r="P56" s="29">
        <f>IF(AND(ISNUMBER(G56),ISNUMBER(M56),M56&gt;='기준 설정'!$E$18),E56,0)</f>
        <v>0</v>
      </c>
      <c r="Q56" s="29">
        <f t="shared" si="4"/>
        <v>0</v>
      </c>
      <c r="R56" s="6" t="s">
        <v>671</v>
      </c>
      <c r="S56" s="41" t="str">
        <f>IF('종료평가용'!AM59="","",'종료평가용'!AM59)</f>
        <v/>
      </c>
      <c r="T56" s="19" t="s">
        <v>103</v>
      </c>
      <c r="U56" s="27" t="str">
        <f t="shared" si="5"/>
        <v>N</v>
      </c>
      <c r="V56" s="27" t="str">
        <f>'종료평가용'!AN59</f>
        <v>없음</v>
      </c>
      <c r="W56" s="27" t="str">
        <f t="shared" si="6"/>
        <v>미입증</v>
      </c>
    </row>
    <row r="57" ht="42.75" customHeight="1">
      <c r="A57" s="19" t="s">
        <v>281</v>
      </c>
      <c r="B57" s="19" t="s">
        <v>202</v>
      </c>
      <c r="C57" s="19" t="s">
        <v>672</v>
      </c>
      <c r="D57" s="6" t="s">
        <v>577</v>
      </c>
      <c r="E57" s="22">
        <v>20.0</v>
      </c>
      <c r="F57" s="27" t="str">
        <f>'종료평가용'!AJ60</f>
        <v>ND</v>
      </c>
      <c r="G57" s="29" t="str">
        <f t="shared" si="1"/>
        <v/>
      </c>
      <c r="H57" s="29" t="str">
        <f>IF('종료평가용'!AD60&lt;&gt;"☑","",IF('종료평가용'!AF60="☑",1,0.5))</f>
        <v/>
      </c>
      <c r="I57" s="29" t="str">
        <f>IF('종료평가용'!AD60&lt;&gt;"☑","",IF('종료평가용'!AE60="☑",1,0))</f>
        <v/>
      </c>
      <c r="J57" s="29" t="str">
        <f>IF('종료평가용'!AD60&lt;&gt;"☑","",IF('종료평가용'!AG60="☑",1,0))</f>
        <v/>
      </c>
      <c r="K57" s="29" t="str">
        <f>IF('종료평가용'!AD60&lt;&gt;"☑","",IF('종료평가용'!AH60="☑",1,0))</f>
        <v/>
      </c>
      <c r="L57" s="29" t="str">
        <f>IF('종료평가용'!AD60&lt;&gt;"☑","",IF('종료평가용'!AI60="☑",1,0))</f>
        <v/>
      </c>
      <c r="M57" s="29" t="str">
        <f>IF(COUNT(H57:L57)&lt;5,"",H57*'기준 설정'!$B$13+I57*'기준 설정'!$B$14+J57*'기준 설정'!$B$15+K57*'기준 설정'!$B$16+L57*'기준 설정'!$B$17)</f>
        <v/>
      </c>
      <c r="N57" s="29" t="str">
        <f t="shared" si="2"/>
        <v/>
      </c>
      <c r="O57" s="29">
        <f t="shared" si="3"/>
        <v>0</v>
      </c>
      <c r="P57" s="29">
        <f>IF(AND(ISNUMBER(G57),ISNUMBER(M57),M57&gt;='기준 설정'!$E$18),E57,0)</f>
        <v>0</v>
      </c>
      <c r="Q57" s="29">
        <f t="shared" si="4"/>
        <v>0</v>
      </c>
      <c r="R57" s="6" t="s">
        <v>673</v>
      </c>
      <c r="S57" s="41" t="str">
        <f>IF('종료평가용'!AM60="","",'종료평가용'!AM60)</f>
        <v/>
      </c>
      <c r="T57" s="19" t="s">
        <v>103</v>
      </c>
      <c r="U57" s="27" t="str">
        <f t="shared" si="5"/>
        <v>N</v>
      </c>
      <c r="V57" s="27" t="str">
        <f>'종료평가용'!AN60</f>
        <v>없음</v>
      </c>
      <c r="W57" s="27" t="str">
        <f t="shared" si="6"/>
        <v>미입증</v>
      </c>
    </row>
    <row r="58" ht="42.75" customHeight="1">
      <c r="A58" s="19" t="s">
        <v>281</v>
      </c>
      <c r="B58" s="19" t="s">
        <v>202</v>
      </c>
      <c r="C58" s="19" t="s">
        <v>674</v>
      </c>
      <c r="D58" s="6" t="s">
        <v>579</v>
      </c>
      <c r="E58" s="22">
        <v>20.0</v>
      </c>
      <c r="F58" s="27" t="str">
        <f>'종료평가용'!AJ61</f>
        <v>ND</v>
      </c>
      <c r="G58" s="29" t="str">
        <f t="shared" si="1"/>
        <v/>
      </c>
      <c r="H58" s="29" t="str">
        <f>IF('종료평가용'!AD61&lt;&gt;"☑","",IF('종료평가용'!AF61="☑",1,0.5))</f>
        <v/>
      </c>
      <c r="I58" s="29" t="str">
        <f>IF('종료평가용'!AD61&lt;&gt;"☑","",IF('종료평가용'!AE61="☑",1,0))</f>
        <v/>
      </c>
      <c r="J58" s="29" t="str">
        <f>IF('종료평가용'!AD61&lt;&gt;"☑","",IF('종료평가용'!AG61="☑",1,0))</f>
        <v/>
      </c>
      <c r="K58" s="29" t="str">
        <f>IF('종료평가용'!AD61&lt;&gt;"☑","",IF('종료평가용'!AH61="☑",1,0))</f>
        <v/>
      </c>
      <c r="L58" s="29" t="str">
        <f>IF('종료평가용'!AD61&lt;&gt;"☑","",IF('종료평가용'!AI61="☑",1,0))</f>
        <v/>
      </c>
      <c r="M58" s="29" t="str">
        <f>IF(COUNT(H58:L58)&lt;5,"",H58*'기준 설정'!$B$13+I58*'기준 설정'!$B$14+J58*'기준 설정'!$B$15+K58*'기준 설정'!$B$16+L58*'기준 설정'!$B$17)</f>
        <v/>
      </c>
      <c r="N58" s="29" t="str">
        <f t="shared" si="2"/>
        <v/>
      </c>
      <c r="O58" s="29">
        <f t="shared" si="3"/>
        <v>0</v>
      </c>
      <c r="P58" s="29">
        <f>IF(AND(ISNUMBER(G58),ISNUMBER(M58),M58&gt;='기준 설정'!$E$18),E58,0)</f>
        <v>0</v>
      </c>
      <c r="Q58" s="29">
        <f t="shared" si="4"/>
        <v>0</v>
      </c>
      <c r="R58" s="6" t="s">
        <v>675</v>
      </c>
      <c r="S58" s="41" t="str">
        <f>IF('종료평가용'!AM61="","",'종료평가용'!AM61)</f>
        <v/>
      </c>
      <c r="T58" s="19" t="s">
        <v>103</v>
      </c>
      <c r="U58" s="27" t="str">
        <f t="shared" si="5"/>
        <v>N</v>
      </c>
      <c r="V58" s="27" t="str">
        <f>'종료평가용'!AN61</f>
        <v>없음</v>
      </c>
      <c r="W58" s="27" t="str">
        <f t="shared" si="6"/>
        <v>미입증</v>
      </c>
    </row>
    <row r="59" ht="42.75" customHeight="1">
      <c r="A59" s="19" t="s">
        <v>281</v>
      </c>
      <c r="B59" s="19" t="s">
        <v>202</v>
      </c>
      <c r="C59" s="19" t="s">
        <v>676</v>
      </c>
      <c r="D59" s="6" t="s">
        <v>582</v>
      </c>
      <c r="E59" s="22">
        <v>20.0</v>
      </c>
      <c r="F59" s="27" t="str">
        <f>'종료평가용'!AJ62</f>
        <v>ND</v>
      </c>
      <c r="G59" s="29" t="str">
        <f t="shared" si="1"/>
        <v/>
      </c>
      <c r="H59" s="29" t="str">
        <f>IF('종료평가용'!AD62&lt;&gt;"☑","",IF('종료평가용'!AF62="☑",1,0.5))</f>
        <v/>
      </c>
      <c r="I59" s="29" t="str">
        <f>IF('종료평가용'!AD62&lt;&gt;"☑","",IF('종료평가용'!AE62="☑",1,0))</f>
        <v/>
      </c>
      <c r="J59" s="29" t="str">
        <f>IF('종료평가용'!AD62&lt;&gt;"☑","",IF('종료평가용'!AG62="☑",1,0))</f>
        <v/>
      </c>
      <c r="K59" s="29" t="str">
        <f>IF('종료평가용'!AD62&lt;&gt;"☑","",IF('종료평가용'!AH62="☑",1,0))</f>
        <v/>
      </c>
      <c r="L59" s="29" t="str">
        <f>IF('종료평가용'!AD62&lt;&gt;"☑","",IF('종료평가용'!AI62="☑",1,0))</f>
        <v/>
      </c>
      <c r="M59" s="29" t="str">
        <f>IF(COUNT(H59:L59)&lt;5,"",H59*'기준 설정'!$B$13+I59*'기준 설정'!$B$14+J59*'기준 설정'!$B$15+K59*'기준 설정'!$B$16+L59*'기준 설정'!$B$17)</f>
        <v/>
      </c>
      <c r="N59" s="29" t="str">
        <f t="shared" si="2"/>
        <v/>
      </c>
      <c r="O59" s="29">
        <f t="shared" si="3"/>
        <v>0</v>
      </c>
      <c r="P59" s="29">
        <f>IF(AND(ISNUMBER(G59),ISNUMBER(M59),M59&gt;='기준 설정'!$E$18),E59,0)</f>
        <v>0</v>
      </c>
      <c r="Q59" s="29">
        <f t="shared" si="4"/>
        <v>0</v>
      </c>
      <c r="R59" s="6" t="s">
        <v>677</v>
      </c>
      <c r="S59" s="41" t="str">
        <f>IF('종료평가용'!AM62="","",'종료평가용'!AM62)</f>
        <v/>
      </c>
      <c r="T59" s="19" t="s">
        <v>103</v>
      </c>
      <c r="U59" s="27" t="str">
        <f t="shared" si="5"/>
        <v>N</v>
      </c>
      <c r="V59" s="27" t="str">
        <f>'종료평가용'!AN62</f>
        <v>없음</v>
      </c>
      <c r="W59" s="27" t="str">
        <f t="shared" si="6"/>
        <v>미입증</v>
      </c>
    </row>
    <row r="60" ht="42.75" customHeight="1">
      <c r="A60" s="19" t="s">
        <v>281</v>
      </c>
      <c r="B60" s="19" t="s">
        <v>202</v>
      </c>
      <c r="C60" s="19" t="s">
        <v>678</v>
      </c>
      <c r="D60" s="6" t="s">
        <v>587</v>
      </c>
      <c r="E60" s="22">
        <v>20.0</v>
      </c>
      <c r="F60" s="27" t="str">
        <f>'종료평가용'!AJ63</f>
        <v>ND</v>
      </c>
      <c r="G60" s="29" t="str">
        <f t="shared" si="1"/>
        <v/>
      </c>
      <c r="H60" s="29" t="str">
        <f>IF('종료평가용'!AD63&lt;&gt;"☑","",IF('종료평가용'!AF63="☑",1,0.5))</f>
        <v/>
      </c>
      <c r="I60" s="29" t="str">
        <f>IF('종료평가용'!AD63&lt;&gt;"☑","",IF('종료평가용'!AE63="☑",1,0))</f>
        <v/>
      </c>
      <c r="J60" s="29" t="str">
        <f>IF('종료평가용'!AD63&lt;&gt;"☑","",IF('종료평가용'!AG63="☑",1,0))</f>
        <v/>
      </c>
      <c r="K60" s="29" t="str">
        <f>IF('종료평가용'!AD63&lt;&gt;"☑","",IF('종료평가용'!AH63="☑",1,0))</f>
        <v/>
      </c>
      <c r="L60" s="29" t="str">
        <f>IF('종료평가용'!AD63&lt;&gt;"☑","",IF('종료평가용'!AI63="☑",1,0))</f>
        <v/>
      </c>
      <c r="M60" s="29" t="str">
        <f>IF(COUNT(H60:L60)&lt;5,"",H60*'기준 설정'!$B$13+I60*'기준 설정'!$B$14+J60*'기준 설정'!$B$15+K60*'기준 설정'!$B$16+L60*'기준 설정'!$B$17)</f>
        <v/>
      </c>
      <c r="N60" s="29" t="str">
        <f t="shared" si="2"/>
        <v/>
      </c>
      <c r="O60" s="29">
        <f t="shared" si="3"/>
        <v>0</v>
      </c>
      <c r="P60" s="29">
        <f>IF(AND(ISNUMBER(G60),ISNUMBER(M60),M60&gt;='기준 설정'!$E$18),E60,0)</f>
        <v>0</v>
      </c>
      <c r="Q60" s="29">
        <f t="shared" si="4"/>
        <v>0</v>
      </c>
      <c r="R60" s="6" t="s">
        <v>679</v>
      </c>
      <c r="S60" s="41" t="str">
        <f>IF('종료평가용'!AM63="","",'종료평가용'!AM63)</f>
        <v/>
      </c>
      <c r="T60" s="19" t="s">
        <v>103</v>
      </c>
      <c r="U60" s="27" t="str">
        <f t="shared" si="5"/>
        <v>N</v>
      </c>
      <c r="V60" s="27" t="str">
        <f>'종료평가용'!AN63</f>
        <v>없음</v>
      </c>
      <c r="W60" s="27" t="str">
        <f t="shared" si="6"/>
        <v>미입증</v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1:W1"/>
    <mergeCell ref="A2:W2"/>
    <mergeCell ref="A3:W3"/>
  </mergeCells>
  <conditionalFormatting sqref="W6:W60">
    <cfRule type="containsText" dxfId="0" priority="1" operator="containsText" text="근거충돌">
      <formula>NOT(ISERROR(SEARCH(("근거충돌"),(W6))))</formula>
    </cfRule>
  </conditionalFormatting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7F8C8D"/>
    <pageSetUpPr/>
  </sheetPr>
  <sheetViews>
    <sheetView showGridLines="0"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23.0"/>
    <col customWidth="1" min="2" max="2" width="50.0"/>
    <col customWidth="1" min="3" max="3" width="28.0"/>
    <col customWidth="1" min="4" max="4" width="30.0"/>
    <col customWidth="1" min="5" max="5" width="18.0"/>
    <col customWidth="1" min="6" max="6" width="32.0"/>
    <col customWidth="1" min="7" max="8" width="12.0"/>
    <col customWidth="1" min="9" max="26" width="8.71"/>
  </cols>
  <sheetData>
    <row r="1" ht="30.0" customHeight="1">
      <c r="A1" s="1" t="s">
        <v>445</v>
      </c>
    </row>
    <row r="2" ht="33.75" customHeight="1">
      <c r="A2" s="2" t="s">
        <v>447</v>
      </c>
    </row>
    <row r="4">
      <c r="A4" s="4" t="s">
        <v>448</v>
      </c>
      <c r="B4" s="4" t="s">
        <v>449</v>
      </c>
      <c r="C4" s="4" t="s">
        <v>450</v>
      </c>
      <c r="D4" s="4" t="s">
        <v>452</v>
      </c>
      <c r="E4" s="4" t="s">
        <v>14</v>
      </c>
      <c r="F4" s="4" t="s">
        <v>453</v>
      </c>
    </row>
    <row r="5">
      <c r="A5" s="48" t="s">
        <v>454</v>
      </c>
      <c r="B5" s="6" t="s">
        <v>456</v>
      </c>
      <c r="C5" s="6" t="s">
        <v>457</v>
      </c>
      <c r="D5" s="71">
        <v>0.0</v>
      </c>
      <c r="E5" s="6">
        <v>1.0</v>
      </c>
      <c r="F5" s="6" t="s">
        <v>458</v>
      </c>
    </row>
    <row r="6">
      <c r="A6" s="48" t="s">
        <v>459</v>
      </c>
      <c r="B6" s="6" t="s">
        <v>460</v>
      </c>
      <c r="C6" s="6" t="s">
        <v>461</v>
      </c>
      <c r="D6" s="71">
        <v>40.0</v>
      </c>
      <c r="E6" s="6">
        <v>2.0</v>
      </c>
      <c r="F6" s="6" t="s">
        <v>462</v>
      </c>
    </row>
    <row r="7">
      <c r="A7" s="48" t="s">
        <v>463</v>
      </c>
      <c r="B7" s="6" t="s">
        <v>464</v>
      </c>
      <c r="C7" s="6" t="s">
        <v>466</v>
      </c>
      <c r="D7" s="71">
        <v>60.0</v>
      </c>
      <c r="E7" s="6">
        <v>3.0</v>
      </c>
      <c r="F7" s="6" t="s">
        <v>467</v>
      </c>
    </row>
    <row r="8">
      <c r="A8" s="48" t="s">
        <v>468</v>
      </c>
      <c r="B8" s="6" t="s">
        <v>469</v>
      </c>
      <c r="C8" s="6" t="s">
        <v>470</v>
      </c>
      <c r="D8" s="71">
        <v>80.0</v>
      </c>
      <c r="E8" s="6">
        <v>4.0</v>
      </c>
      <c r="F8" s="6" t="s">
        <v>471</v>
      </c>
    </row>
    <row r="9">
      <c r="A9" s="48" t="s">
        <v>472</v>
      </c>
      <c r="B9" s="6" t="s">
        <v>473</v>
      </c>
      <c r="C9" s="6" t="s">
        <v>475</v>
      </c>
    </row>
    <row r="10">
      <c r="A10" s="48" t="s">
        <v>476</v>
      </c>
      <c r="B10" s="6" t="s">
        <v>477</v>
      </c>
      <c r="C10" s="6" t="s">
        <v>478</v>
      </c>
    </row>
    <row r="12">
      <c r="A12" s="4" t="s">
        <v>479</v>
      </c>
      <c r="B12" s="4" t="s">
        <v>480</v>
      </c>
      <c r="D12" s="4" t="s">
        <v>481</v>
      </c>
      <c r="E12" s="4" t="s">
        <v>482</v>
      </c>
      <c r="F12" s="4" t="s">
        <v>450</v>
      </c>
    </row>
    <row r="13">
      <c r="A13" s="6" t="s">
        <v>39</v>
      </c>
      <c r="B13" s="72">
        <v>0.3</v>
      </c>
      <c r="D13" s="72">
        <v>0.0</v>
      </c>
      <c r="E13" s="6">
        <v>0.0</v>
      </c>
      <c r="F13" s="6" t="s">
        <v>483</v>
      </c>
    </row>
    <row r="14">
      <c r="A14" s="6" t="s">
        <v>40</v>
      </c>
      <c r="B14" s="72">
        <v>0.25</v>
      </c>
      <c r="D14" s="72">
        <v>0.6</v>
      </c>
      <c r="E14" s="6">
        <v>3.0</v>
      </c>
      <c r="F14" s="6" t="s">
        <v>484</v>
      </c>
    </row>
    <row r="15">
      <c r="A15" s="6" t="s">
        <v>485</v>
      </c>
      <c r="B15" s="72">
        <v>0.2</v>
      </c>
      <c r="D15" s="72">
        <v>0.85</v>
      </c>
      <c r="E15" s="6">
        <v>4.0</v>
      </c>
      <c r="F15" s="6" t="s">
        <v>486</v>
      </c>
    </row>
    <row r="16">
      <c r="A16" s="6" t="s">
        <v>44</v>
      </c>
      <c r="B16" s="72">
        <v>0.15</v>
      </c>
    </row>
    <row r="17">
      <c r="A17" s="6" t="s">
        <v>487</v>
      </c>
      <c r="B17" s="72">
        <v>0.1</v>
      </c>
      <c r="D17" s="4" t="s">
        <v>488</v>
      </c>
      <c r="E17" s="4" t="s">
        <v>489</v>
      </c>
      <c r="F17" s="4" t="s">
        <v>386</v>
      </c>
    </row>
    <row r="18">
      <c r="D18" s="6" t="s">
        <v>490</v>
      </c>
      <c r="E18" s="72">
        <v>0.5</v>
      </c>
      <c r="F18" s="6" t="s">
        <v>491</v>
      </c>
    </row>
    <row r="19">
      <c r="D19" s="6" t="s">
        <v>492</v>
      </c>
      <c r="E19" s="6">
        <v>50.0</v>
      </c>
      <c r="F19" s="6" t="s">
        <v>493</v>
      </c>
    </row>
    <row r="20">
      <c r="D20" s="6" t="s">
        <v>2</v>
      </c>
      <c r="E20" s="6" t="s">
        <v>3</v>
      </c>
      <c r="F20" s="6" t="s">
        <v>494</v>
      </c>
    </row>
    <row r="21" ht="15.75" customHeight="1">
      <c r="A21" s="4" t="s">
        <v>495</v>
      </c>
      <c r="B21" s="4" t="s">
        <v>496</v>
      </c>
      <c r="C21" s="4" t="s">
        <v>497</v>
      </c>
      <c r="D21" s="4" t="s">
        <v>18</v>
      </c>
      <c r="E21" s="4" t="s">
        <v>498</v>
      </c>
    </row>
    <row r="22" ht="55.5" customHeight="1">
      <c r="A22" s="70" t="s">
        <v>27</v>
      </c>
      <c r="B22" s="6" t="s">
        <v>499</v>
      </c>
      <c r="C22" s="6" t="s">
        <v>500</v>
      </c>
      <c r="D22" s="6" t="s">
        <v>501</v>
      </c>
      <c r="E22" s="81">
        <v>100.0</v>
      </c>
    </row>
    <row r="23" ht="55.5" customHeight="1">
      <c r="A23" s="70" t="s">
        <v>105</v>
      </c>
      <c r="B23" s="6" t="s">
        <v>502</v>
      </c>
      <c r="C23" s="6" t="s">
        <v>503</v>
      </c>
      <c r="D23" s="6" t="s">
        <v>504</v>
      </c>
      <c r="E23" s="81">
        <v>100.0</v>
      </c>
    </row>
    <row r="24" ht="55.5" customHeight="1">
      <c r="A24" s="70" t="s">
        <v>122</v>
      </c>
      <c r="B24" s="6" t="s">
        <v>506</v>
      </c>
      <c r="C24" s="6" t="s">
        <v>507</v>
      </c>
      <c r="D24" s="6" t="s">
        <v>508</v>
      </c>
      <c r="E24" s="81">
        <v>100.0</v>
      </c>
    </row>
    <row r="25" ht="55.5" customHeight="1">
      <c r="A25" s="70" t="s">
        <v>134</v>
      </c>
      <c r="B25" s="6" t="s">
        <v>509</v>
      </c>
      <c r="C25" s="6" t="s">
        <v>510</v>
      </c>
      <c r="D25" s="6" t="s">
        <v>511</v>
      </c>
      <c r="E25" s="81">
        <v>100.0</v>
      </c>
    </row>
    <row r="26" ht="55.5" customHeight="1">
      <c r="A26" s="70" t="s">
        <v>146</v>
      </c>
      <c r="B26" s="6" t="s">
        <v>512</v>
      </c>
      <c r="C26" s="6" t="s">
        <v>513</v>
      </c>
      <c r="D26" s="6" t="s">
        <v>515</v>
      </c>
      <c r="E26" s="81">
        <v>100.0</v>
      </c>
    </row>
    <row r="27" ht="55.5" customHeight="1">
      <c r="A27" s="70" t="s">
        <v>158</v>
      </c>
      <c r="B27" s="6" t="s">
        <v>516</v>
      </c>
      <c r="C27" s="6" t="s">
        <v>517</v>
      </c>
      <c r="D27" s="6" t="s">
        <v>518</v>
      </c>
      <c r="E27" s="81">
        <v>100.0</v>
      </c>
    </row>
    <row r="28" ht="55.5" customHeight="1">
      <c r="A28" s="70" t="s">
        <v>165</v>
      </c>
      <c r="B28" s="6" t="s">
        <v>519</v>
      </c>
      <c r="C28" s="6" t="s">
        <v>520</v>
      </c>
      <c r="D28" s="6" t="s">
        <v>521</v>
      </c>
      <c r="E28" s="81">
        <v>100.0</v>
      </c>
    </row>
    <row r="29" ht="55.5" customHeight="1">
      <c r="A29" s="70" t="s">
        <v>175</v>
      </c>
      <c r="B29" s="6" t="s">
        <v>522</v>
      </c>
      <c r="C29" s="6" t="s">
        <v>523</v>
      </c>
      <c r="D29" s="6" t="s">
        <v>524</v>
      </c>
      <c r="E29" s="81">
        <v>100.0</v>
      </c>
    </row>
    <row r="30" ht="55.5" customHeight="1">
      <c r="A30" s="70" t="s">
        <v>184</v>
      </c>
      <c r="B30" s="6" t="s">
        <v>525</v>
      </c>
      <c r="C30" s="6" t="s">
        <v>526</v>
      </c>
      <c r="D30" s="6" t="s">
        <v>527</v>
      </c>
      <c r="E30" s="81">
        <v>100.0</v>
      </c>
    </row>
    <row r="31" ht="55.5" customHeight="1">
      <c r="A31" s="70" t="s">
        <v>197</v>
      </c>
      <c r="B31" s="6" t="s">
        <v>528</v>
      </c>
      <c r="C31" s="6" t="s">
        <v>530</v>
      </c>
      <c r="D31" s="6" t="s">
        <v>532</v>
      </c>
      <c r="E31" s="81">
        <v>100.0</v>
      </c>
    </row>
    <row r="32" ht="55.5" customHeight="1">
      <c r="A32" s="70" t="s">
        <v>202</v>
      </c>
      <c r="B32" s="6" t="s">
        <v>533</v>
      </c>
      <c r="C32" s="6" t="s">
        <v>534</v>
      </c>
      <c r="D32" s="6" t="s">
        <v>536</v>
      </c>
      <c r="E32" s="81">
        <v>100.0</v>
      </c>
    </row>
    <row r="33" ht="15.75" customHeight="1"/>
    <row r="34" ht="15.75" customHeight="1"/>
    <row r="35" ht="15.75" customHeight="1">
      <c r="A35" s="4" t="s">
        <v>537</v>
      </c>
      <c r="B35" s="4" t="s">
        <v>538</v>
      </c>
      <c r="C35" s="4"/>
      <c r="D35" s="4"/>
      <c r="E35" s="4"/>
    </row>
    <row r="36" ht="15.75" customHeight="1">
      <c r="A36" s="73" t="s">
        <v>539</v>
      </c>
      <c r="B36" s="83" t="s">
        <v>540</v>
      </c>
      <c r="C36" s="84"/>
      <c r="D36" s="84"/>
      <c r="E36" s="85"/>
    </row>
    <row r="37" ht="15.75" customHeight="1">
      <c r="A37" s="73" t="s">
        <v>542</v>
      </c>
      <c r="B37" s="83" t="s">
        <v>543</v>
      </c>
      <c r="C37" s="84"/>
      <c r="D37" s="84"/>
      <c r="E37" s="85"/>
    </row>
    <row r="38" ht="15.75" customHeight="1">
      <c r="A38" s="73" t="s">
        <v>544</v>
      </c>
      <c r="B38" s="83" t="s">
        <v>545</v>
      </c>
      <c r="C38" s="84"/>
      <c r="D38" s="84"/>
      <c r="E38" s="85"/>
    </row>
    <row r="39" ht="15.75" customHeight="1">
      <c r="A39" s="73" t="s">
        <v>21</v>
      </c>
      <c r="B39" s="83" t="s">
        <v>546</v>
      </c>
      <c r="C39" s="84"/>
      <c r="D39" s="84"/>
      <c r="E39" s="85"/>
    </row>
    <row r="40" ht="15.75" customHeight="1">
      <c r="A40" s="73" t="s">
        <v>548</v>
      </c>
      <c r="B40" s="83" t="s">
        <v>549</v>
      </c>
      <c r="C40" s="84"/>
      <c r="D40" s="84"/>
      <c r="E40" s="85"/>
    </row>
    <row r="41" ht="15.75" customHeight="1">
      <c r="A41" s="73" t="s">
        <v>550</v>
      </c>
      <c r="B41" s="83" t="s">
        <v>551</v>
      </c>
      <c r="C41" s="84"/>
      <c r="D41" s="84"/>
      <c r="E41" s="85"/>
    </row>
    <row r="42" ht="15.75" customHeight="1">
      <c r="A42" s="73" t="s">
        <v>552</v>
      </c>
      <c r="B42" s="83" t="s">
        <v>553</v>
      </c>
      <c r="C42" s="84"/>
      <c r="D42" s="84"/>
      <c r="E42" s="85"/>
    </row>
    <row r="43" ht="15.75" customHeight="1"/>
    <row r="44" ht="30.0" customHeight="1">
      <c r="A44" s="1" t="s">
        <v>554</v>
      </c>
    </row>
    <row r="45" ht="15.75" customHeight="1">
      <c r="A45" s="4" t="s">
        <v>495</v>
      </c>
      <c r="B45" s="4" t="s">
        <v>496</v>
      </c>
      <c r="C45" s="4" t="s">
        <v>497</v>
      </c>
      <c r="D45" s="4" t="s">
        <v>18</v>
      </c>
      <c r="E45" s="4" t="s">
        <v>498</v>
      </c>
    </row>
    <row r="46" ht="57.75" customHeight="1">
      <c r="A46" s="70" t="s">
        <v>27</v>
      </c>
      <c r="B46" s="6" t="s">
        <v>556</v>
      </c>
      <c r="C46" s="6" t="s">
        <v>500</v>
      </c>
      <c r="D46" s="6" t="s">
        <v>501</v>
      </c>
      <c r="E46" s="81">
        <v>100.0</v>
      </c>
    </row>
    <row r="47" ht="57.75" customHeight="1">
      <c r="A47" s="70" t="s">
        <v>105</v>
      </c>
      <c r="B47" s="6" t="s">
        <v>557</v>
      </c>
      <c r="C47" s="6" t="s">
        <v>503</v>
      </c>
      <c r="D47" s="6" t="s">
        <v>504</v>
      </c>
      <c r="E47" s="81">
        <v>100.0</v>
      </c>
    </row>
    <row r="48" ht="57.75" customHeight="1">
      <c r="A48" s="70" t="s">
        <v>122</v>
      </c>
      <c r="B48" s="6" t="s">
        <v>559</v>
      </c>
      <c r="C48" s="6" t="s">
        <v>507</v>
      </c>
      <c r="D48" s="6" t="s">
        <v>508</v>
      </c>
      <c r="E48" s="81">
        <v>100.0</v>
      </c>
    </row>
    <row r="49" ht="57.75" customHeight="1">
      <c r="A49" s="70" t="s">
        <v>134</v>
      </c>
      <c r="B49" s="6" t="s">
        <v>560</v>
      </c>
      <c r="C49" s="6" t="s">
        <v>510</v>
      </c>
      <c r="D49" s="6" t="s">
        <v>511</v>
      </c>
      <c r="E49" s="81">
        <v>100.0</v>
      </c>
    </row>
    <row r="50" ht="57.75" customHeight="1">
      <c r="A50" s="70" t="s">
        <v>146</v>
      </c>
      <c r="B50" s="6" t="s">
        <v>561</v>
      </c>
      <c r="C50" s="6" t="s">
        <v>513</v>
      </c>
      <c r="D50" s="6" t="s">
        <v>515</v>
      </c>
      <c r="E50" s="81">
        <v>100.0</v>
      </c>
    </row>
    <row r="51" ht="57.75" customHeight="1">
      <c r="A51" s="70" t="s">
        <v>158</v>
      </c>
      <c r="B51" s="6" t="s">
        <v>564</v>
      </c>
      <c r="C51" s="6" t="s">
        <v>517</v>
      </c>
      <c r="D51" s="6" t="s">
        <v>518</v>
      </c>
      <c r="E51" s="81">
        <v>100.0</v>
      </c>
    </row>
    <row r="52" ht="57.75" customHeight="1">
      <c r="A52" s="70" t="s">
        <v>165</v>
      </c>
      <c r="B52" s="6" t="s">
        <v>565</v>
      </c>
      <c r="C52" s="6" t="s">
        <v>520</v>
      </c>
      <c r="D52" s="6" t="s">
        <v>521</v>
      </c>
      <c r="E52" s="81">
        <v>100.0</v>
      </c>
    </row>
    <row r="53" ht="57.75" customHeight="1">
      <c r="A53" s="70" t="s">
        <v>175</v>
      </c>
      <c r="B53" s="6" t="s">
        <v>566</v>
      </c>
      <c r="C53" s="6" t="s">
        <v>523</v>
      </c>
      <c r="D53" s="6" t="s">
        <v>524</v>
      </c>
      <c r="E53" s="81">
        <v>100.0</v>
      </c>
    </row>
    <row r="54" ht="57.75" customHeight="1">
      <c r="A54" s="70" t="s">
        <v>184</v>
      </c>
      <c r="B54" s="6" t="s">
        <v>567</v>
      </c>
      <c r="C54" s="6" t="s">
        <v>526</v>
      </c>
      <c r="D54" s="6" t="s">
        <v>527</v>
      </c>
      <c r="E54" s="81">
        <v>100.0</v>
      </c>
    </row>
    <row r="55" ht="57.75" customHeight="1">
      <c r="A55" s="70" t="s">
        <v>197</v>
      </c>
      <c r="B55" s="6" t="s">
        <v>570</v>
      </c>
      <c r="C55" s="6" t="s">
        <v>530</v>
      </c>
      <c r="D55" s="6" t="s">
        <v>532</v>
      </c>
      <c r="E55" s="81">
        <v>100.0</v>
      </c>
    </row>
    <row r="56" ht="57.75" customHeight="1">
      <c r="A56" s="70" t="s">
        <v>202</v>
      </c>
      <c r="B56" s="6" t="s">
        <v>572</v>
      </c>
      <c r="C56" s="6" t="s">
        <v>534</v>
      </c>
      <c r="D56" s="6" t="s">
        <v>536</v>
      </c>
      <c r="E56" s="81">
        <v>100.0</v>
      </c>
    </row>
    <row r="57" ht="57.75" customHeight="1">
      <c r="A57" s="70" t="s">
        <v>398</v>
      </c>
      <c r="B57" s="6" t="s">
        <v>573</v>
      </c>
      <c r="C57" s="6" t="s">
        <v>574</v>
      </c>
      <c r="D57" s="6" t="s">
        <v>575</v>
      </c>
      <c r="E57" s="81">
        <v>100.0</v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B41:E41"/>
    <mergeCell ref="B42:E42"/>
    <mergeCell ref="A44:E44"/>
    <mergeCell ref="A1:H1"/>
    <mergeCell ref="A2:H2"/>
    <mergeCell ref="B36:E36"/>
    <mergeCell ref="B37:E37"/>
    <mergeCell ref="B38:E38"/>
    <mergeCell ref="B39:E39"/>
    <mergeCell ref="B40:E40"/>
  </mergeCells>
  <printOptions/>
  <pageMargins bottom="0.75" footer="0.0" header="0.0" left="0.7" right="0.7" top="0.75"/>
  <pageSetup orientation="landscape"/>
  <drawing r:id="rId1"/>
</worksheet>
</file>